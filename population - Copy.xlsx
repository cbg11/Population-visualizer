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0e9cd42f584bf2/Documents/Population visualizer/"/>
    </mc:Choice>
  </mc:AlternateContent>
  <xr:revisionPtr revIDLastSave="35" documentId="11_2068ABE58CA14257F81ACF531E6AA93484635D3E" xr6:coauthVersionLast="47" xr6:coauthVersionMax="47" xr10:uidLastSave="{AEE8DB6C-CC7E-4B93-B1C6-983F2E46FD0A}"/>
  <bookViews>
    <workbookView xWindow="11424" yWindow="0" windowWidth="11712" windowHeight="12336" xr2:uid="{00000000-000D-0000-FFFF-FFFF00000000}"/>
  </bookViews>
  <sheets>
    <sheet name="Final 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7" i="2"/>
  <c r="M8" i="2"/>
  <c r="M9" i="2"/>
  <c r="M10" i="2"/>
  <c r="M11" i="2"/>
  <c r="M12" i="2"/>
  <c r="M18" i="2"/>
  <c r="M19" i="2"/>
  <c r="M20" i="2"/>
  <c r="M21" i="2"/>
  <c r="M22" i="2"/>
  <c r="M23" i="2"/>
  <c r="M24" i="2"/>
  <c r="M26" i="2"/>
  <c r="M27" i="2"/>
  <c r="M28" i="2"/>
  <c r="M29" i="2"/>
  <c r="M33" i="2"/>
  <c r="M34" i="2"/>
  <c r="M35" i="2"/>
  <c r="M36" i="2"/>
  <c r="M41" i="2"/>
  <c r="M42" i="2"/>
  <c r="M43" i="2"/>
  <c r="M46" i="2"/>
  <c r="M47" i="2"/>
  <c r="M48" i="2"/>
  <c r="M49" i="2"/>
  <c r="M50" i="2"/>
  <c r="M51" i="2"/>
  <c r="M52" i="2"/>
  <c r="M53" i="2"/>
  <c r="M54" i="2"/>
  <c r="M55" i="2"/>
  <c r="M2" i="2"/>
</calcChain>
</file>

<file path=xl/sharedStrings.xml><?xml version="1.0" encoding="utf-8"?>
<sst xmlns="http://schemas.openxmlformats.org/spreadsheetml/2006/main" count="756" uniqueCount="123">
  <si>
    <t>Region</t>
  </si>
  <si>
    <t>Zone</t>
  </si>
  <si>
    <t>Woreda</t>
  </si>
  <si>
    <t>Population</t>
  </si>
  <si>
    <t>Total Kebele</t>
  </si>
  <si>
    <t>Sampled Kebele</t>
  </si>
  <si>
    <t>List of Sampled Kebeles</t>
  </si>
  <si>
    <t>BeGu</t>
  </si>
  <si>
    <t>Kamashi</t>
  </si>
  <si>
    <t>Assosa</t>
  </si>
  <si>
    <t>Metekel</t>
  </si>
  <si>
    <t>Mao Komo SW</t>
  </si>
  <si>
    <t>Dambe</t>
  </si>
  <si>
    <t xml:space="preserve">Kamashi </t>
  </si>
  <si>
    <t>Sedal</t>
  </si>
  <si>
    <t xml:space="preserve">Zay </t>
  </si>
  <si>
    <t>Mizhiga</t>
  </si>
  <si>
    <t>Bambasi</t>
  </si>
  <si>
    <t>Oda Buldiglu</t>
  </si>
  <si>
    <t>Homosha</t>
  </si>
  <si>
    <t>Kurmuk</t>
  </si>
  <si>
    <t>Menge</t>
  </si>
  <si>
    <t>Ondulu</t>
  </si>
  <si>
    <t>Oura Woreda</t>
  </si>
  <si>
    <t>Sherkole</t>
  </si>
  <si>
    <t>Abrahamo</t>
  </si>
  <si>
    <t>Bullen</t>
  </si>
  <si>
    <t>Dangur</t>
  </si>
  <si>
    <t>Guba</t>
  </si>
  <si>
    <t>Dibati</t>
  </si>
  <si>
    <t>Mandura</t>
  </si>
  <si>
    <t>Pawi</t>
  </si>
  <si>
    <t>Wonbera</t>
  </si>
  <si>
    <t>Mao Komo</t>
  </si>
  <si>
    <t>Mining</t>
  </si>
  <si>
    <t>No</t>
  </si>
  <si>
    <t>SD</t>
  </si>
  <si>
    <t>Diversity</t>
  </si>
  <si>
    <t>Sample Size</t>
  </si>
  <si>
    <t>NM</t>
  </si>
  <si>
    <t>NSD</t>
  </si>
  <si>
    <t>Gilgel Beles</t>
  </si>
  <si>
    <t>Asossa Town W1</t>
  </si>
  <si>
    <t>Asossa Twon W2</t>
  </si>
  <si>
    <t>NO</t>
  </si>
  <si>
    <t>yes</t>
  </si>
  <si>
    <t>Kebele U5</t>
  </si>
  <si>
    <t>Total U5</t>
  </si>
  <si>
    <t>Ketena 2</t>
  </si>
  <si>
    <t>Ketena 5</t>
  </si>
  <si>
    <t>Doshna Moch (ዶሽና ሞች)</t>
  </si>
  <si>
    <t>M134 (ቀ.2 መንደር 134)</t>
  </si>
  <si>
    <t>M30 (ቀ.2 መንደር 30)</t>
  </si>
  <si>
    <t>M49 (መንደር 49)</t>
  </si>
  <si>
    <t>M23/45 (መንደር 23/45)</t>
  </si>
  <si>
    <t>Belmili (ቤልሚሊ)</t>
  </si>
  <si>
    <t>Ahonemenga (አሆነመንጋ)</t>
  </si>
  <si>
    <t>Beshir (በሽር)</t>
  </si>
  <si>
    <t>Dul Shitalo (ዱል ሸታሎ)</t>
  </si>
  <si>
    <t>Agubela (አጉቤላ)</t>
  </si>
  <si>
    <t>Ogindu (ኦግንዱ)</t>
  </si>
  <si>
    <t>Gumba (ጉምባ)</t>
  </si>
  <si>
    <t>Abulo (አቡሎ)</t>
  </si>
  <si>
    <t>Selga 19 (ሠልጋ 19)</t>
  </si>
  <si>
    <t>Basha-Buda (ባሻ-ቡዳ)</t>
  </si>
  <si>
    <t>Amba 1 (አምባ 1)</t>
  </si>
  <si>
    <t>Amba 4 (አምባ 4)</t>
  </si>
  <si>
    <t>Amba 3 (አምባ 3)</t>
  </si>
  <si>
    <t>Wtse (ዌፄ)</t>
  </si>
  <si>
    <t>Mimi (ሚሚ)</t>
  </si>
  <si>
    <t>Yeningu (የንጉ)</t>
  </si>
  <si>
    <t>Banga (ባንጋ)</t>
  </si>
  <si>
    <t>Gesh Mela (ግሽ መላ)</t>
  </si>
  <si>
    <t>Kigsha (ኪግሻ)</t>
  </si>
  <si>
    <t>Gech Seya (ግች ስያ)</t>
  </si>
  <si>
    <t>Geshzhna (ግሽዥና)</t>
  </si>
  <si>
    <t>Zampha (ዛንጳ)</t>
  </si>
  <si>
    <t>Benteres (በንተረስ)</t>
  </si>
  <si>
    <t>Chelanko (ጭላንቆ)</t>
  </si>
  <si>
    <t>Bekuji (በኩጂ)</t>
  </si>
  <si>
    <t>Ayigali (አይጋሊ)</t>
  </si>
  <si>
    <t>Ondulu (ኡንድሉ)</t>
  </si>
  <si>
    <t>Shegogo (ሽጎጎ)</t>
  </si>
  <si>
    <t>Keser 1 and 2 (ኬሴር 1 እና 2)</t>
  </si>
  <si>
    <t>Fafa (ፋፋ)</t>
  </si>
  <si>
    <t>Ketena 3</t>
  </si>
  <si>
    <t>Assosa Zone</t>
  </si>
  <si>
    <t>Metekel Zone</t>
  </si>
  <si>
    <t>Kamashi Zone</t>
  </si>
  <si>
    <t>Homosha Woreda</t>
  </si>
  <si>
    <t>Menge Woreda</t>
  </si>
  <si>
    <t>Sherkole Woreda</t>
  </si>
  <si>
    <t>Kurmuk Woreda</t>
  </si>
  <si>
    <t>Ondulu Woreda</t>
  </si>
  <si>
    <t>Mandura Woreda</t>
  </si>
  <si>
    <t>Pawi Woreda</t>
  </si>
  <si>
    <t>Dangur Woreda</t>
  </si>
  <si>
    <t>Guba Woreda</t>
  </si>
  <si>
    <t>Dibati Woreda</t>
  </si>
  <si>
    <t>Bullen Woreda</t>
  </si>
  <si>
    <t>Wonbera Woreda</t>
  </si>
  <si>
    <t>Gilgel Beles Woreda</t>
  </si>
  <si>
    <t>Kamashi Woreda</t>
  </si>
  <si>
    <t>Zay Woreda</t>
  </si>
  <si>
    <t>Mizhiga Woreda</t>
  </si>
  <si>
    <t>Dambe Woreda</t>
  </si>
  <si>
    <t>Sedal Woreda</t>
  </si>
  <si>
    <t>M3 (መንደር 3)</t>
  </si>
  <si>
    <t>M127 (መንደር 127)</t>
  </si>
  <si>
    <t>Zay 02 (ዛይ 02)</t>
  </si>
  <si>
    <t>Buldiglu</t>
  </si>
  <si>
    <t>Ahurungu (አሁሩንጉ)</t>
  </si>
  <si>
    <t>Buladushi (በለዱሺ)</t>
  </si>
  <si>
    <t>Abulgode (አቡልጎዴ)</t>
  </si>
  <si>
    <t>Beletseri (ቤልፀሪ)</t>
  </si>
  <si>
    <t>Kedoshonshol (ቄዶሾንሾል)</t>
  </si>
  <si>
    <t>Alfefshir (አልፈፍሽር)</t>
  </si>
  <si>
    <t>chasga (ቻስጋ)</t>
  </si>
  <si>
    <t>Bentrs) በንተረስ</t>
  </si>
  <si>
    <t>Kokaya (ጎካያ)</t>
  </si>
  <si>
    <t>Administrative Towns</t>
  </si>
  <si>
    <t>Kamashi Town</t>
  </si>
  <si>
    <t>Non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</si>
</sst>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ተቲመ"/>
    </font>
    <font>
      <sz val="10"/>
      <color rgb="FF000000"/>
      <name val="ተቲመ"/>
    </font>
    <font>
      <sz val="10"/>
      <color rgb="FFFF0000"/>
      <name val="ተቲመ"/>
    </font>
    <font>
      <sz val="10"/>
      <name val="ተቲመ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H1" zoomScale="127" zoomScaleNormal="90" workbookViewId="0">
      <selection activeCell="L4" sqref="L4"/>
    </sheetView>
  </sheetViews>
  <sheetFormatPr defaultRowHeight="14.4"/>
  <cols>
    <col min="1" max="1" width="7.44140625" bestFit="1" customWidth="1"/>
    <col min="2" max="2" width="14.5546875" bestFit="1" customWidth="1"/>
    <col min="3" max="3" width="20.33203125" bestFit="1" customWidth="1"/>
    <col min="4" max="4" width="7.44140625" bestFit="1" customWidth="1"/>
    <col min="5" max="5" width="4.88671875" bestFit="1" customWidth="1"/>
    <col min="6" max="6" width="9.109375" bestFit="1" customWidth="1"/>
    <col min="7" max="7" width="6" customWidth="1"/>
    <col min="8" max="8" width="10.88671875" bestFit="1" customWidth="1"/>
    <col min="9" max="9" width="8.88671875" bestFit="1" customWidth="1"/>
    <col min="10" max="10" width="5.109375" customWidth="1"/>
    <col min="11" max="11" width="27.44140625" bestFit="1" customWidth="1"/>
    <col min="12" max="12" width="10.44140625" bestFit="1" customWidth="1"/>
    <col min="13" max="13" width="11.8867187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34</v>
      </c>
      <c r="E1" s="2" t="s">
        <v>36</v>
      </c>
      <c r="F1" s="2" t="s">
        <v>37</v>
      </c>
      <c r="G1" s="2" t="s">
        <v>4</v>
      </c>
      <c r="H1" s="2" t="s">
        <v>3</v>
      </c>
      <c r="I1" s="2" t="s">
        <v>47</v>
      </c>
      <c r="J1" s="2" t="s">
        <v>5</v>
      </c>
      <c r="K1" s="2" t="s">
        <v>6</v>
      </c>
      <c r="L1" s="2" t="s">
        <v>46</v>
      </c>
      <c r="M1" s="2" t="s">
        <v>38</v>
      </c>
    </row>
    <row r="2" spans="1:13">
      <c r="A2" s="2" t="s">
        <v>7</v>
      </c>
      <c r="B2" s="2" t="s">
        <v>120</v>
      </c>
      <c r="C2" s="2" t="s">
        <v>42</v>
      </c>
      <c r="D2" s="2" t="s">
        <v>122</v>
      </c>
      <c r="E2" s="2" t="s">
        <v>40</v>
      </c>
      <c r="F2" s="2" t="s">
        <v>44</v>
      </c>
      <c r="G2" s="2">
        <v>5</v>
      </c>
      <c r="H2" s="3">
        <v>7118</v>
      </c>
      <c r="I2" s="3">
        <v>1151</v>
      </c>
      <c r="J2" s="2">
        <v>2</v>
      </c>
      <c r="K2" s="2" t="s">
        <v>48</v>
      </c>
      <c r="L2" s="3">
        <v>1151</v>
      </c>
      <c r="M2" s="2">
        <f>ROUND((SUM(1267*L2)/35362)+0.08,0)</f>
        <v>41</v>
      </c>
    </row>
    <row r="3" spans="1:13">
      <c r="A3" s="2" t="s">
        <v>7</v>
      </c>
      <c r="B3" s="2" t="s">
        <v>120</v>
      </c>
      <c r="C3" s="2" t="s">
        <v>42</v>
      </c>
      <c r="D3" s="2" t="s">
        <v>122</v>
      </c>
      <c r="E3" s="2" t="s">
        <v>40</v>
      </c>
      <c r="F3" s="2" t="s">
        <v>44</v>
      </c>
      <c r="G3" s="2">
        <v>5</v>
      </c>
      <c r="H3" s="3">
        <v>14250</v>
      </c>
      <c r="I3" s="3">
        <v>2305</v>
      </c>
      <c r="J3" s="2">
        <v>2</v>
      </c>
      <c r="K3" s="2" t="s">
        <v>49</v>
      </c>
      <c r="L3" s="3">
        <v>2305</v>
      </c>
      <c r="M3" s="2">
        <f t="shared" ref="M3:M55" si="0">ROUND((SUM(1267*L3)/35362)+0.08,0)</f>
        <v>83</v>
      </c>
    </row>
    <row r="4" spans="1:13">
      <c r="A4" s="2" t="s">
        <v>7</v>
      </c>
      <c r="B4" s="2" t="s">
        <v>120</v>
      </c>
      <c r="C4" s="2" t="s">
        <v>43</v>
      </c>
      <c r="D4" s="2" t="s">
        <v>122</v>
      </c>
      <c r="E4" s="2" t="s">
        <v>40</v>
      </c>
      <c r="F4" s="2" t="s">
        <v>44</v>
      </c>
      <c r="G4" s="2">
        <v>5</v>
      </c>
      <c r="H4" s="3">
        <v>2005</v>
      </c>
      <c r="I4" s="3">
        <v>324</v>
      </c>
      <c r="J4" s="2">
        <v>2</v>
      </c>
      <c r="K4" s="2" t="s">
        <v>85</v>
      </c>
      <c r="L4" s="3">
        <v>1460</v>
      </c>
      <c r="M4" s="2">
        <f t="shared" si="0"/>
        <v>52</v>
      </c>
    </row>
    <row r="5" spans="1:13">
      <c r="A5" s="2" t="s">
        <v>7</v>
      </c>
      <c r="B5" s="2" t="s">
        <v>120</v>
      </c>
      <c r="C5" s="2" t="s">
        <v>43</v>
      </c>
      <c r="D5" s="2" t="s">
        <v>122</v>
      </c>
      <c r="E5" s="2" t="s">
        <v>40</v>
      </c>
      <c r="F5" s="2" t="s">
        <v>44</v>
      </c>
      <c r="G5" s="2">
        <v>5</v>
      </c>
      <c r="H5" s="3">
        <v>2274</v>
      </c>
      <c r="I5" s="3">
        <v>368</v>
      </c>
      <c r="J5" s="2">
        <v>2</v>
      </c>
      <c r="K5" s="2" t="s">
        <v>49</v>
      </c>
      <c r="L5" s="3">
        <v>1656</v>
      </c>
      <c r="M5" s="2">
        <f t="shared" si="0"/>
        <v>59</v>
      </c>
    </row>
    <row r="6" spans="1:13">
      <c r="A6" s="9" t="s">
        <v>7</v>
      </c>
      <c r="B6" s="9" t="s">
        <v>86</v>
      </c>
      <c r="C6" s="9" t="s">
        <v>17</v>
      </c>
      <c r="D6" s="2" t="s">
        <v>122</v>
      </c>
      <c r="E6" s="9" t="s">
        <v>40</v>
      </c>
      <c r="F6" s="9" t="s">
        <v>45</v>
      </c>
      <c r="G6" s="9">
        <v>44</v>
      </c>
      <c r="H6" s="9">
        <v>85148</v>
      </c>
      <c r="I6" s="9">
        <v>13794</v>
      </c>
      <c r="J6" s="4"/>
      <c r="K6" s="2"/>
      <c r="L6" s="4"/>
      <c r="M6" s="2"/>
    </row>
    <row r="7" spans="1:13">
      <c r="A7" s="2" t="s">
        <v>7</v>
      </c>
      <c r="B7" s="2" t="s">
        <v>86</v>
      </c>
      <c r="C7" s="2" t="s">
        <v>110</v>
      </c>
      <c r="D7" s="2" t="s">
        <v>122</v>
      </c>
      <c r="E7" s="2" t="s">
        <v>40</v>
      </c>
      <c r="F7" s="2" t="s">
        <v>35</v>
      </c>
      <c r="G7" s="2">
        <v>30</v>
      </c>
      <c r="H7" s="5">
        <v>2226</v>
      </c>
      <c r="I7" s="5">
        <v>361</v>
      </c>
      <c r="J7" s="2">
        <v>6</v>
      </c>
      <c r="K7" s="2" t="s">
        <v>111</v>
      </c>
      <c r="L7" s="5">
        <v>361</v>
      </c>
      <c r="M7" s="2">
        <f t="shared" si="0"/>
        <v>13</v>
      </c>
    </row>
    <row r="8" spans="1:13">
      <c r="A8" s="2" t="s">
        <v>7</v>
      </c>
      <c r="B8" s="2" t="s">
        <v>86</v>
      </c>
      <c r="C8" s="2" t="s">
        <v>110</v>
      </c>
      <c r="D8" s="2" t="s">
        <v>122</v>
      </c>
      <c r="E8" s="2" t="s">
        <v>40</v>
      </c>
      <c r="F8" s="2" t="s">
        <v>35</v>
      </c>
      <c r="G8" s="2">
        <v>30</v>
      </c>
      <c r="H8" s="5">
        <v>2903</v>
      </c>
      <c r="I8" s="5">
        <v>470</v>
      </c>
      <c r="J8" s="2">
        <v>6</v>
      </c>
      <c r="K8" s="2" t="s">
        <v>112</v>
      </c>
      <c r="L8" s="5">
        <v>470</v>
      </c>
      <c r="M8" s="2">
        <f t="shared" si="0"/>
        <v>17</v>
      </c>
    </row>
    <row r="9" spans="1:13">
      <c r="A9" s="2" t="s">
        <v>7</v>
      </c>
      <c r="B9" s="2" t="s">
        <v>86</v>
      </c>
      <c r="C9" s="2" t="s">
        <v>110</v>
      </c>
      <c r="D9" s="2" t="s">
        <v>122</v>
      </c>
      <c r="E9" s="2" t="s">
        <v>40</v>
      </c>
      <c r="F9" s="2" t="s">
        <v>35</v>
      </c>
      <c r="G9" s="2">
        <v>30</v>
      </c>
      <c r="H9" s="5">
        <v>1280</v>
      </c>
      <c r="I9" s="5">
        <v>207</v>
      </c>
      <c r="J9" s="2">
        <v>6</v>
      </c>
      <c r="K9" s="2" t="s">
        <v>113</v>
      </c>
      <c r="L9" s="5">
        <v>207</v>
      </c>
      <c r="M9" s="2">
        <f t="shared" si="0"/>
        <v>7</v>
      </c>
    </row>
    <row r="10" spans="1:13">
      <c r="A10" s="2" t="s">
        <v>7</v>
      </c>
      <c r="B10" s="2" t="s">
        <v>86</v>
      </c>
      <c r="C10" s="2" t="s">
        <v>110</v>
      </c>
      <c r="D10" s="2" t="s">
        <v>122</v>
      </c>
      <c r="E10" s="2" t="s">
        <v>40</v>
      </c>
      <c r="F10" s="2" t="s">
        <v>35</v>
      </c>
      <c r="G10" s="2">
        <v>30</v>
      </c>
      <c r="H10" s="5">
        <v>4841</v>
      </c>
      <c r="I10" s="5">
        <v>784</v>
      </c>
      <c r="J10" s="2">
        <v>6</v>
      </c>
      <c r="K10" s="2" t="s">
        <v>114</v>
      </c>
      <c r="L10" s="5">
        <v>784</v>
      </c>
      <c r="M10" s="2">
        <f t="shared" si="0"/>
        <v>28</v>
      </c>
    </row>
    <row r="11" spans="1:13">
      <c r="A11" s="2" t="s">
        <v>7</v>
      </c>
      <c r="B11" s="2" t="s">
        <v>86</v>
      </c>
      <c r="C11" s="2" t="s">
        <v>110</v>
      </c>
      <c r="D11" s="2" t="s">
        <v>122</v>
      </c>
      <c r="E11" s="2" t="s">
        <v>40</v>
      </c>
      <c r="F11" s="2" t="s">
        <v>35</v>
      </c>
      <c r="G11" s="2">
        <v>30</v>
      </c>
      <c r="H11" s="5">
        <v>5400</v>
      </c>
      <c r="I11" s="5">
        <v>874</v>
      </c>
      <c r="J11" s="2">
        <v>6</v>
      </c>
      <c r="K11" s="2" t="s">
        <v>115</v>
      </c>
      <c r="L11" s="5">
        <v>874</v>
      </c>
      <c r="M11" s="2">
        <f t="shared" si="0"/>
        <v>31</v>
      </c>
    </row>
    <row r="12" spans="1:13">
      <c r="A12" s="2" t="s">
        <v>7</v>
      </c>
      <c r="B12" s="2" t="s">
        <v>86</v>
      </c>
      <c r="C12" s="2" t="s">
        <v>110</v>
      </c>
      <c r="D12" s="2" t="s">
        <v>122</v>
      </c>
      <c r="E12" s="2" t="s">
        <v>40</v>
      </c>
      <c r="F12" s="2" t="s">
        <v>35</v>
      </c>
      <c r="G12" s="2">
        <v>30</v>
      </c>
      <c r="H12" s="5">
        <v>4371</v>
      </c>
      <c r="I12" s="5">
        <v>708</v>
      </c>
      <c r="J12" s="2">
        <v>6</v>
      </c>
      <c r="K12" s="2" t="s">
        <v>116</v>
      </c>
      <c r="L12" s="5">
        <v>708</v>
      </c>
      <c r="M12" s="2">
        <f t="shared" si="0"/>
        <v>25</v>
      </c>
    </row>
    <row r="13" spans="1:13">
      <c r="A13" s="2" t="s">
        <v>7</v>
      </c>
      <c r="B13" s="2" t="s">
        <v>86</v>
      </c>
      <c r="C13" s="2" t="s">
        <v>25</v>
      </c>
      <c r="D13" s="2" t="s">
        <v>122</v>
      </c>
      <c r="E13" s="2" t="s">
        <v>40</v>
      </c>
      <c r="F13" s="2" t="s">
        <v>44</v>
      </c>
      <c r="G13" s="2">
        <v>37</v>
      </c>
      <c r="H13" s="2">
        <v>55983</v>
      </c>
      <c r="I13" s="2">
        <v>9069</v>
      </c>
      <c r="J13" s="2"/>
      <c r="K13" s="2"/>
      <c r="L13" s="2"/>
      <c r="M13" s="2"/>
    </row>
    <row r="14" spans="1:13">
      <c r="A14" s="2" t="s">
        <v>7</v>
      </c>
      <c r="B14" s="2" t="s">
        <v>86</v>
      </c>
      <c r="C14" s="2" t="s">
        <v>23</v>
      </c>
      <c r="D14" s="2" t="s">
        <v>122</v>
      </c>
      <c r="E14" s="2" t="s">
        <v>40</v>
      </c>
      <c r="F14" s="2" t="s">
        <v>44</v>
      </c>
      <c r="G14" s="2">
        <v>38</v>
      </c>
      <c r="H14" s="2">
        <v>73845</v>
      </c>
      <c r="I14" s="2">
        <v>11963</v>
      </c>
      <c r="J14" s="2"/>
      <c r="K14" s="2"/>
      <c r="L14" s="2"/>
      <c r="M14" s="2"/>
    </row>
    <row r="15" spans="1:13">
      <c r="A15" s="2" t="s">
        <v>7</v>
      </c>
      <c r="B15" s="2" t="s">
        <v>86</v>
      </c>
      <c r="C15" s="2" t="s">
        <v>89</v>
      </c>
      <c r="D15" s="2" t="s">
        <v>122</v>
      </c>
      <c r="E15" s="2" t="s">
        <v>40</v>
      </c>
      <c r="F15" s="2" t="s">
        <v>44</v>
      </c>
      <c r="G15" s="2">
        <v>15</v>
      </c>
      <c r="H15" s="2">
        <v>38021</v>
      </c>
      <c r="I15" s="2">
        <v>6159</v>
      </c>
      <c r="J15" s="2"/>
      <c r="K15" s="2"/>
      <c r="L15" s="2"/>
      <c r="M15" s="2"/>
    </row>
    <row r="16" spans="1:13">
      <c r="A16" s="2" t="s">
        <v>7</v>
      </c>
      <c r="B16" s="2" t="s">
        <v>86</v>
      </c>
      <c r="C16" s="2" t="s">
        <v>90</v>
      </c>
      <c r="D16" s="2" t="s">
        <v>34</v>
      </c>
      <c r="E16" s="2" t="s">
        <v>36</v>
      </c>
      <c r="F16" s="2" t="s">
        <v>44</v>
      </c>
      <c r="G16" s="2">
        <v>23</v>
      </c>
      <c r="H16" s="2">
        <v>45722</v>
      </c>
      <c r="I16" s="2">
        <v>7407</v>
      </c>
      <c r="J16" s="2"/>
      <c r="K16" s="2"/>
      <c r="L16" s="2"/>
      <c r="M16" s="2"/>
    </row>
    <row r="17" spans="1:13">
      <c r="A17" s="2" t="s">
        <v>7</v>
      </c>
      <c r="B17" s="2" t="s">
        <v>86</v>
      </c>
      <c r="C17" s="2" t="s">
        <v>91</v>
      </c>
      <c r="D17" s="2" t="s">
        <v>34</v>
      </c>
      <c r="E17" s="2" t="s">
        <v>36</v>
      </c>
      <c r="F17" s="2" t="s">
        <v>44</v>
      </c>
      <c r="G17" s="2">
        <v>19</v>
      </c>
      <c r="H17" s="2">
        <v>43153</v>
      </c>
      <c r="I17" s="2">
        <v>6991</v>
      </c>
      <c r="J17" s="2"/>
      <c r="K17" s="2"/>
      <c r="L17" s="2"/>
      <c r="M17" s="2"/>
    </row>
    <row r="18" spans="1:13">
      <c r="A18" s="2" t="s">
        <v>7</v>
      </c>
      <c r="B18" s="2" t="s">
        <v>86</v>
      </c>
      <c r="C18" s="2" t="s">
        <v>92</v>
      </c>
      <c r="D18" s="2" t="s">
        <v>34</v>
      </c>
      <c r="E18" s="2" t="s">
        <v>36</v>
      </c>
      <c r="F18" s="2" t="s">
        <v>35</v>
      </c>
      <c r="G18" s="2">
        <v>19</v>
      </c>
      <c r="H18" s="5">
        <v>1545</v>
      </c>
      <c r="I18" s="5">
        <v>250</v>
      </c>
      <c r="J18" s="2">
        <v>4</v>
      </c>
      <c r="K18" s="2" t="s">
        <v>57</v>
      </c>
      <c r="L18" s="5">
        <v>250</v>
      </c>
      <c r="M18" s="2">
        <f t="shared" si="0"/>
        <v>9</v>
      </c>
    </row>
    <row r="19" spans="1:13">
      <c r="A19" s="2" t="s">
        <v>7</v>
      </c>
      <c r="B19" s="2" t="s">
        <v>86</v>
      </c>
      <c r="C19" s="2" t="s">
        <v>92</v>
      </c>
      <c r="D19" s="2" t="s">
        <v>34</v>
      </c>
      <c r="E19" s="2" t="s">
        <v>36</v>
      </c>
      <c r="F19" s="2" t="s">
        <v>35</v>
      </c>
      <c r="G19" s="2">
        <v>19</v>
      </c>
      <c r="H19" s="5">
        <v>2057</v>
      </c>
      <c r="I19" s="5">
        <v>333</v>
      </c>
      <c r="J19" s="2">
        <v>4</v>
      </c>
      <c r="K19" s="2" t="s">
        <v>58</v>
      </c>
      <c r="L19" s="5">
        <v>333</v>
      </c>
      <c r="M19" s="2">
        <f t="shared" si="0"/>
        <v>12</v>
      </c>
    </row>
    <row r="20" spans="1:13">
      <c r="A20" s="2" t="s">
        <v>7</v>
      </c>
      <c r="B20" s="2" t="s">
        <v>86</v>
      </c>
      <c r="C20" s="2" t="s">
        <v>92</v>
      </c>
      <c r="D20" s="2" t="s">
        <v>34</v>
      </c>
      <c r="E20" s="2" t="s">
        <v>36</v>
      </c>
      <c r="F20" s="2" t="s">
        <v>35</v>
      </c>
      <c r="G20" s="2">
        <v>19</v>
      </c>
      <c r="H20" s="5">
        <v>1727</v>
      </c>
      <c r="I20" s="5">
        <v>278</v>
      </c>
      <c r="J20" s="2">
        <v>4</v>
      </c>
      <c r="K20" s="2" t="s">
        <v>59</v>
      </c>
      <c r="L20" s="5">
        <v>278</v>
      </c>
      <c r="M20" s="2">
        <f t="shared" si="0"/>
        <v>10</v>
      </c>
    </row>
    <row r="21" spans="1:13">
      <c r="A21" s="2" t="s">
        <v>7</v>
      </c>
      <c r="B21" s="2" t="s">
        <v>86</v>
      </c>
      <c r="C21" s="2" t="s">
        <v>92</v>
      </c>
      <c r="D21" s="2" t="s">
        <v>34</v>
      </c>
      <c r="E21" s="2" t="s">
        <v>36</v>
      </c>
      <c r="F21" s="2" t="s">
        <v>35</v>
      </c>
      <c r="G21" s="2">
        <v>19</v>
      </c>
      <c r="H21" s="5">
        <v>1867</v>
      </c>
      <c r="I21" s="5">
        <v>302</v>
      </c>
      <c r="J21" s="2">
        <v>4</v>
      </c>
      <c r="K21" s="2" t="s">
        <v>60</v>
      </c>
      <c r="L21" s="5">
        <v>302</v>
      </c>
      <c r="M21" s="2">
        <f t="shared" si="0"/>
        <v>11</v>
      </c>
    </row>
    <row r="22" spans="1:13">
      <c r="A22" s="2" t="s">
        <v>7</v>
      </c>
      <c r="B22" s="2" t="s">
        <v>86</v>
      </c>
      <c r="C22" s="2" t="s">
        <v>93</v>
      </c>
      <c r="D22" s="2" t="s">
        <v>122</v>
      </c>
      <c r="E22" s="2" t="s">
        <v>36</v>
      </c>
      <c r="F22" s="2" t="s">
        <v>35</v>
      </c>
      <c r="G22" s="2">
        <v>10</v>
      </c>
      <c r="H22" s="5">
        <v>1858</v>
      </c>
      <c r="I22" s="5">
        <v>301</v>
      </c>
      <c r="J22" s="2">
        <v>3</v>
      </c>
      <c r="K22" s="2" t="s">
        <v>55</v>
      </c>
      <c r="L22" s="5">
        <v>301</v>
      </c>
      <c r="M22" s="2">
        <f t="shared" si="0"/>
        <v>11</v>
      </c>
    </row>
    <row r="23" spans="1:13">
      <c r="A23" s="2" t="s">
        <v>7</v>
      </c>
      <c r="B23" s="2" t="s">
        <v>86</v>
      </c>
      <c r="C23" s="2" t="s">
        <v>93</v>
      </c>
      <c r="D23" s="2" t="s">
        <v>122</v>
      </c>
      <c r="E23" s="2" t="s">
        <v>36</v>
      </c>
      <c r="F23" s="2" t="s">
        <v>35</v>
      </c>
      <c r="G23" s="2">
        <v>10</v>
      </c>
      <c r="H23" s="5">
        <v>2184</v>
      </c>
      <c r="I23" s="5">
        <v>353</v>
      </c>
      <c r="J23" s="2">
        <v>3</v>
      </c>
      <c r="K23" s="2" t="s">
        <v>56</v>
      </c>
      <c r="L23" s="5">
        <v>353</v>
      </c>
      <c r="M23" s="2">
        <f t="shared" si="0"/>
        <v>13</v>
      </c>
    </row>
    <row r="24" spans="1:13">
      <c r="A24" s="2" t="s">
        <v>7</v>
      </c>
      <c r="B24" s="2" t="s">
        <v>86</v>
      </c>
      <c r="C24" s="2" t="s">
        <v>93</v>
      </c>
      <c r="D24" s="2" t="s">
        <v>122</v>
      </c>
      <c r="E24" s="2" t="s">
        <v>36</v>
      </c>
      <c r="F24" s="2" t="s">
        <v>35</v>
      </c>
      <c r="G24" s="2">
        <v>10</v>
      </c>
      <c r="H24" s="5">
        <v>4167</v>
      </c>
      <c r="I24" s="5">
        <v>674</v>
      </c>
      <c r="J24" s="2">
        <v>3</v>
      </c>
      <c r="K24" s="2" t="s">
        <v>81</v>
      </c>
      <c r="L24" s="5">
        <v>674</v>
      </c>
      <c r="M24" s="2">
        <f t="shared" si="0"/>
        <v>24</v>
      </c>
    </row>
    <row r="25" spans="1:13">
      <c r="A25" s="2" t="s">
        <v>7</v>
      </c>
      <c r="B25" s="2" t="s">
        <v>87</v>
      </c>
      <c r="C25" s="2" t="s">
        <v>94</v>
      </c>
      <c r="D25" s="2" t="s">
        <v>34</v>
      </c>
      <c r="E25" s="2" t="s">
        <v>40</v>
      </c>
      <c r="F25" s="2" t="s">
        <v>35</v>
      </c>
      <c r="G25" s="2">
        <v>22</v>
      </c>
      <c r="H25" s="2">
        <v>71256</v>
      </c>
      <c r="I25" s="2">
        <v>11543</v>
      </c>
      <c r="J25" s="2"/>
      <c r="K25" s="2"/>
      <c r="L25" s="2"/>
      <c r="M25" s="2"/>
    </row>
    <row r="26" spans="1:13">
      <c r="A26" s="2" t="s">
        <v>7</v>
      </c>
      <c r="B26" s="2" t="s">
        <v>87</v>
      </c>
      <c r="C26" s="2" t="s">
        <v>95</v>
      </c>
      <c r="D26" s="2" t="s">
        <v>122</v>
      </c>
      <c r="E26" s="2" t="s">
        <v>40</v>
      </c>
      <c r="F26" s="2" t="s">
        <v>35</v>
      </c>
      <c r="G26" s="2">
        <v>23</v>
      </c>
      <c r="H26" s="6">
        <v>5938</v>
      </c>
      <c r="I26" s="5">
        <v>962</v>
      </c>
      <c r="J26" s="2">
        <v>4</v>
      </c>
      <c r="K26" s="2" t="s">
        <v>54</v>
      </c>
      <c r="L26" s="5">
        <v>962</v>
      </c>
      <c r="M26" s="2">
        <f t="shared" si="0"/>
        <v>35</v>
      </c>
    </row>
    <row r="27" spans="1:13">
      <c r="A27" s="2" t="s">
        <v>7</v>
      </c>
      <c r="B27" s="2" t="s">
        <v>87</v>
      </c>
      <c r="C27" s="2" t="s">
        <v>95</v>
      </c>
      <c r="D27" s="2" t="s">
        <v>122</v>
      </c>
      <c r="E27" s="2" t="s">
        <v>40</v>
      </c>
      <c r="F27" s="2" t="s">
        <v>35</v>
      </c>
      <c r="G27" s="2">
        <v>23</v>
      </c>
      <c r="H27" s="6">
        <v>3340</v>
      </c>
      <c r="I27" s="5">
        <v>541</v>
      </c>
      <c r="J27" s="2">
        <v>4</v>
      </c>
      <c r="K27" s="2" t="s">
        <v>52</v>
      </c>
      <c r="L27" s="5">
        <v>541</v>
      </c>
      <c r="M27" s="2">
        <f t="shared" si="0"/>
        <v>19</v>
      </c>
    </row>
    <row r="28" spans="1:13">
      <c r="A28" s="2" t="s">
        <v>7</v>
      </c>
      <c r="B28" s="2" t="s">
        <v>87</v>
      </c>
      <c r="C28" s="2" t="s">
        <v>95</v>
      </c>
      <c r="D28" s="2" t="s">
        <v>122</v>
      </c>
      <c r="E28" s="2" t="s">
        <v>40</v>
      </c>
      <c r="F28" s="2" t="s">
        <v>35</v>
      </c>
      <c r="G28" s="2">
        <v>23</v>
      </c>
      <c r="H28" s="2">
        <v>79654</v>
      </c>
      <c r="I28" s="2">
        <v>12904</v>
      </c>
      <c r="J28" s="2">
        <v>4</v>
      </c>
      <c r="K28" s="2" t="s">
        <v>107</v>
      </c>
      <c r="L28" s="2">
        <v>12904</v>
      </c>
      <c r="M28" s="2">
        <f t="shared" si="0"/>
        <v>462</v>
      </c>
    </row>
    <row r="29" spans="1:13">
      <c r="A29" s="2" t="s">
        <v>7</v>
      </c>
      <c r="B29" s="2" t="s">
        <v>87</v>
      </c>
      <c r="C29" s="2" t="s">
        <v>95</v>
      </c>
      <c r="D29" s="2" t="s">
        <v>122</v>
      </c>
      <c r="E29" s="2" t="s">
        <v>40</v>
      </c>
      <c r="F29" s="2" t="s">
        <v>35</v>
      </c>
      <c r="G29" s="2">
        <v>23</v>
      </c>
      <c r="H29" s="5">
        <v>2339</v>
      </c>
      <c r="I29" s="5">
        <v>379</v>
      </c>
      <c r="J29" s="2">
        <v>4</v>
      </c>
      <c r="K29" s="2" t="s">
        <v>108</v>
      </c>
      <c r="L29" s="5">
        <v>379</v>
      </c>
      <c r="M29" s="2">
        <f t="shared" si="0"/>
        <v>14</v>
      </c>
    </row>
    <row r="30" spans="1:13">
      <c r="A30" s="2" t="s">
        <v>7</v>
      </c>
      <c r="B30" s="2" t="s">
        <v>87</v>
      </c>
      <c r="C30" s="2" t="s">
        <v>96</v>
      </c>
      <c r="D30" s="2" t="s">
        <v>34</v>
      </c>
      <c r="E30" s="2" t="s">
        <v>40</v>
      </c>
      <c r="F30" s="2" t="s">
        <v>44</v>
      </c>
      <c r="G30" s="2">
        <v>29</v>
      </c>
      <c r="H30" s="2">
        <v>84872</v>
      </c>
      <c r="I30" s="2">
        <v>13749</v>
      </c>
      <c r="J30" s="2"/>
      <c r="K30" s="2"/>
      <c r="L30" s="2"/>
      <c r="M30" s="2"/>
    </row>
    <row r="31" spans="1:13">
      <c r="A31" s="2" t="s">
        <v>7</v>
      </c>
      <c r="B31" s="2" t="s">
        <v>87</v>
      </c>
      <c r="C31" s="2" t="s">
        <v>97</v>
      </c>
      <c r="D31" s="2" t="s">
        <v>122</v>
      </c>
      <c r="E31" s="2" t="s">
        <v>36</v>
      </c>
      <c r="F31" s="2" t="s">
        <v>35</v>
      </c>
      <c r="G31" s="2">
        <v>17</v>
      </c>
      <c r="H31" s="2">
        <v>26067</v>
      </c>
      <c r="I31" s="2">
        <v>4223</v>
      </c>
      <c r="J31" s="2"/>
      <c r="K31" s="2"/>
      <c r="L31" s="2"/>
      <c r="M31" s="2"/>
    </row>
    <row r="32" spans="1:13">
      <c r="A32" s="2" t="s">
        <v>7</v>
      </c>
      <c r="B32" s="2" t="s">
        <v>87</v>
      </c>
      <c r="C32" s="2" t="s">
        <v>98</v>
      </c>
      <c r="D32" s="2" t="s">
        <v>122</v>
      </c>
      <c r="E32" s="2" t="s">
        <v>36</v>
      </c>
      <c r="F32" s="2" t="s">
        <v>45</v>
      </c>
      <c r="G32" s="2">
        <v>35</v>
      </c>
      <c r="H32" s="2">
        <v>77639</v>
      </c>
      <c r="I32" s="2">
        <v>12577</v>
      </c>
      <c r="J32" s="2"/>
      <c r="K32" s="2"/>
      <c r="L32" s="2"/>
      <c r="M32" s="2"/>
    </row>
    <row r="33" spans="1:13">
      <c r="A33" s="2" t="s">
        <v>7</v>
      </c>
      <c r="B33" s="2" t="s">
        <v>87</v>
      </c>
      <c r="C33" s="2" t="s">
        <v>99</v>
      </c>
      <c r="D33" s="2" t="s">
        <v>34</v>
      </c>
      <c r="E33" s="2" t="s">
        <v>36</v>
      </c>
      <c r="F33" s="2" t="s">
        <v>45</v>
      </c>
      <c r="G33" s="2">
        <v>19</v>
      </c>
      <c r="H33" s="5">
        <v>6610</v>
      </c>
      <c r="I33" s="5">
        <v>1069</v>
      </c>
      <c r="J33" s="2">
        <v>4</v>
      </c>
      <c r="K33" s="2" t="s">
        <v>78</v>
      </c>
      <c r="L33" s="5">
        <v>1069</v>
      </c>
      <c r="M33" s="2">
        <f t="shared" si="0"/>
        <v>38</v>
      </c>
    </row>
    <row r="34" spans="1:13">
      <c r="A34" s="2" t="s">
        <v>7</v>
      </c>
      <c r="B34" s="2" t="s">
        <v>87</v>
      </c>
      <c r="C34" s="2" t="s">
        <v>99</v>
      </c>
      <c r="D34" s="2" t="s">
        <v>34</v>
      </c>
      <c r="E34" s="2" t="s">
        <v>36</v>
      </c>
      <c r="F34" s="2" t="s">
        <v>45</v>
      </c>
      <c r="G34" s="2">
        <v>19</v>
      </c>
      <c r="H34" s="5">
        <v>2878</v>
      </c>
      <c r="I34" s="5">
        <v>466</v>
      </c>
      <c r="J34" s="2">
        <v>4</v>
      </c>
      <c r="K34" s="2" t="s">
        <v>80</v>
      </c>
      <c r="L34" s="5">
        <v>466</v>
      </c>
      <c r="M34" s="2">
        <f t="shared" si="0"/>
        <v>17</v>
      </c>
    </row>
    <row r="35" spans="1:13">
      <c r="A35" s="2" t="s">
        <v>7</v>
      </c>
      <c r="B35" s="2" t="s">
        <v>87</v>
      </c>
      <c r="C35" s="2" t="s">
        <v>99</v>
      </c>
      <c r="D35" s="2" t="s">
        <v>34</v>
      </c>
      <c r="E35" s="2" t="s">
        <v>36</v>
      </c>
      <c r="F35" s="2" t="s">
        <v>45</v>
      </c>
      <c r="G35" s="2">
        <v>19</v>
      </c>
      <c r="H35" s="5">
        <v>3758</v>
      </c>
      <c r="I35" s="5">
        <v>608</v>
      </c>
      <c r="J35" s="2">
        <v>4</v>
      </c>
      <c r="K35" s="2" t="s">
        <v>50</v>
      </c>
      <c r="L35" s="5">
        <v>608</v>
      </c>
      <c r="M35" s="2">
        <f t="shared" si="0"/>
        <v>22</v>
      </c>
    </row>
    <row r="36" spans="1:13">
      <c r="A36" s="2" t="s">
        <v>7</v>
      </c>
      <c r="B36" s="2" t="s">
        <v>87</v>
      </c>
      <c r="C36" s="2" t="s">
        <v>99</v>
      </c>
      <c r="D36" s="2" t="s">
        <v>34</v>
      </c>
      <c r="E36" s="2" t="s">
        <v>36</v>
      </c>
      <c r="F36" s="2" t="s">
        <v>45</v>
      </c>
      <c r="G36" s="2">
        <v>19</v>
      </c>
      <c r="H36" s="5">
        <v>3658</v>
      </c>
      <c r="I36" s="5">
        <v>591</v>
      </c>
      <c r="J36" s="2">
        <v>4</v>
      </c>
      <c r="K36" s="2" t="s">
        <v>79</v>
      </c>
      <c r="L36" s="5">
        <v>591</v>
      </c>
      <c r="M36" s="2">
        <f t="shared" si="0"/>
        <v>21</v>
      </c>
    </row>
    <row r="37" spans="1:13">
      <c r="A37" s="2" t="s">
        <v>7</v>
      </c>
      <c r="B37" s="2" t="s">
        <v>87</v>
      </c>
      <c r="C37" s="2" t="s">
        <v>100</v>
      </c>
      <c r="D37" s="2" t="s">
        <v>34</v>
      </c>
      <c r="E37" s="2" t="s">
        <v>36</v>
      </c>
      <c r="F37" s="2" t="s">
        <v>45</v>
      </c>
      <c r="G37" s="2">
        <v>36</v>
      </c>
      <c r="H37" s="2">
        <v>104918</v>
      </c>
      <c r="I37" s="2">
        <v>16997</v>
      </c>
      <c r="J37" s="2"/>
      <c r="K37" s="2"/>
      <c r="L37" s="2"/>
      <c r="M37" s="2"/>
    </row>
    <row r="38" spans="1:13">
      <c r="A38" s="2" t="s">
        <v>7</v>
      </c>
      <c r="B38" s="2" t="s">
        <v>120</v>
      </c>
      <c r="C38" s="2" t="s">
        <v>101</v>
      </c>
      <c r="D38" s="2" t="s">
        <v>122</v>
      </c>
      <c r="E38" s="2" t="s">
        <v>40</v>
      </c>
      <c r="F38" s="2"/>
      <c r="G38" s="2"/>
      <c r="H38" s="2"/>
      <c r="I38" s="2"/>
      <c r="J38" s="2"/>
      <c r="K38" s="2"/>
      <c r="L38" s="2"/>
      <c r="M38" s="2"/>
    </row>
    <row r="39" spans="1:13">
      <c r="A39" s="2" t="s">
        <v>7</v>
      </c>
      <c r="B39" s="2" t="s">
        <v>120</v>
      </c>
      <c r="C39" s="2" t="s">
        <v>121</v>
      </c>
      <c r="D39" s="2" t="s">
        <v>34</v>
      </c>
      <c r="E39" s="2" t="s">
        <v>36</v>
      </c>
      <c r="F39" s="2" t="s">
        <v>35</v>
      </c>
      <c r="G39" s="2">
        <v>19</v>
      </c>
      <c r="H39" s="2">
        <v>31271</v>
      </c>
      <c r="I39" s="2">
        <v>5066</v>
      </c>
      <c r="J39" s="2"/>
      <c r="K39" s="2"/>
      <c r="L39" s="2"/>
      <c r="M39" s="2"/>
    </row>
    <row r="40" spans="1:13">
      <c r="A40" s="2" t="s">
        <v>7</v>
      </c>
      <c r="B40" s="2" t="s">
        <v>88</v>
      </c>
      <c r="C40" s="2" t="s">
        <v>102</v>
      </c>
      <c r="D40" s="2" t="s">
        <v>34</v>
      </c>
      <c r="E40" s="2" t="s">
        <v>36</v>
      </c>
      <c r="F40" s="2" t="s">
        <v>35</v>
      </c>
      <c r="G40" s="2">
        <v>19</v>
      </c>
      <c r="H40" s="2">
        <v>31271</v>
      </c>
      <c r="I40" s="2">
        <v>5066</v>
      </c>
      <c r="J40" s="2"/>
      <c r="K40" s="2"/>
      <c r="L40" s="2"/>
      <c r="M40" s="2"/>
    </row>
    <row r="41" spans="1:13">
      <c r="A41" s="2" t="s">
        <v>7</v>
      </c>
      <c r="B41" s="2" t="s">
        <v>88</v>
      </c>
      <c r="C41" s="2" t="s">
        <v>103</v>
      </c>
      <c r="D41" s="2" t="s">
        <v>34</v>
      </c>
      <c r="E41" s="2" t="s">
        <v>36</v>
      </c>
      <c r="F41" s="2" t="s">
        <v>35</v>
      </c>
      <c r="G41" s="2">
        <v>15</v>
      </c>
      <c r="H41" s="5">
        <v>950</v>
      </c>
      <c r="I41" s="5">
        <v>153</v>
      </c>
      <c r="J41" s="2">
        <v>3</v>
      </c>
      <c r="K41" s="2" t="s">
        <v>72</v>
      </c>
      <c r="L41" s="5">
        <v>153</v>
      </c>
      <c r="M41" s="2">
        <f t="shared" si="0"/>
        <v>6</v>
      </c>
    </row>
    <row r="42" spans="1:13">
      <c r="A42" s="2" t="s">
        <v>7</v>
      </c>
      <c r="B42" s="2" t="s">
        <v>88</v>
      </c>
      <c r="C42" s="2" t="s">
        <v>103</v>
      </c>
      <c r="D42" s="2" t="s">
        <v>34</v>
      </c>
      <c r="E42" s="2" t="s">
        <v>36</v>
      </c>
      <c r="F42" s="2" t="s">
        <v>35</v>
      </c>
      <c r="G42" s="2">
        <v>15</v>
      </c>
      <c r="H42" s="5">
        <v>2624</v>
      </c>
      <c r="I42" s="5">
        <v>425</v>
      </c>
      <c r="J42" s="2">
        <v>3</v>
      </c>
      <c r="K42" s="2" t="s">
        <v>109</v>
      </c>
      <c r="L42" s="5">
        <v>425</v>
      </c>
      <c r="M42" s="2">
        <f t="shared" si="0"/>
        <v>15</v>
      </c>
    </row>
    <row r="43" spans="1:13">
      <c r="A43" s="2" t="s">
        <v>7</v>
      </c>
      <c r="B43" s="2" t="s">
        <v>88</v>
      </c>
      <c r="C43" s="2" t="s">
        <v>103</v>
      </c>
      <c r="D43" s="2" t="s">
        <v>34</v>
      </c>
      <c r="E43" s="2" t="s">
        <v>36</v>
      </c>
      <c r="F43" s="2" t="s">
        <v>35</v>
      </c>
      <c r="G43" s="2">
        <v>15</v>
      </c>
      <c r="H43" s="5">
        <v>1967</v>
      </c>
      <c r="I43" s="5">
        <v>318</v>
      </c>
      <c r="J43" s="2">
        <v>3</v>
      </c>
      <c r="K43" s="2" t="s">
        <v>74</v>
      </c>
      <c r="L43" s="5">
        <v>318</v>
      </c>
      <c r="M43" s="2">
        <f t="shared" si="0"/>
        <v>11</v>
      </c>
    </row>
    <row r="44" spans="1:13">
      <c r="A44" s="2" t="s">
        <v>7</v>
      </c>
      <c r="B44" s="2" t="s">
        <v>88</v>
      </c>
      <c r="C44" s="2" t="s">
        <v>104</v>
      </c>
      <c r="D44" s="2" t="s">
        <v>34</v>
      </c>
      <c r="E44" s="2" t="s">
        <v>40</v>
      </c>
      <c r="F44" s="2" t="s">
        <v>35</v>
      </c>
      <c r="G44" s="2">
        <v>12</v>
      </c>
      <c r="H44" s="2">
        <v>52709</v>
      </c>
      <c r="I44" s="2">
        <v>8539</v>
      </c>
      <c r="J44" s="2"/>
      <c r="K44" s="2"/>
      <c r="L44" s="2"/>
      <c r="M44" s="2"/>
    </row>
    <row r="45" spans="1:13">
      <c r="A45" s="2" t="s">
        <v>7</v>
      </c>
      <c r="B45" s="2" t="s">
        <v>88</v>
      </c>
      <c r="C45" s="2" t="s">
        <v>105</v>
      </c>
      <c r="D45" s="2" t="s">
        <v>34</v>
      </c>
      <c r="E45" s="2" t="s">
        <v>36</v>
      </c>
      <c r="F45" s="2" t="s">
        <v>35</v>
      </c>
      <c r="G45" s="2">
        <v>22</v>
      </c>
      <c r="H45" s="2">
        <v>39823</v>
      </c>
      <c r="I45" s="2">
        <v>6451</v>
      </c>
      <c r="J45" s="2"/>
      <c r="K45" s="2"/>
      <c r="L45" s="2"/>
      <c r="M45" s="2"/>
    </row>
    <row r="46" spans="1:13">
      <c r="A46" s="2" t="s">
        <v>7</v>
      </c>
      <c r="B46" s="2" t="s">
        <v>88</v>
      </c>
      <c r="C46" s="2" t="s">
        <v>106</v>
      </c>
      <c r="D46" s="2" t="s">
        <v>34</v>
      </c>
      <c r="E46" s="2" t="s">
        <v>40</v>
      </c>
      <c r="F46" s="2" t="s">
        <v>35</v>
      </c>
      <c r="G46" s="2">
        <v>15</v>
      </c>
      <c r="H46" s="5">
        <v>1541</v>
      </c>
      <c r="I46" s="5">
        <v>250</v>
      </c>
      <c r="J46" s="2">
        <v>3</v>
      </c>
      <c r="K46" s="2" t="s">
        <v>117</v>
      </c>
      <c r="L46" s="5">
        <v>250</v>
      </c>
      <c r="M46" s="2">
        <f t="shared" si="0"/>
        <v>9</v>
      </c>
    </row>
    <row r="47" spans="1:13">
      <c r="A47" s="2" t="s">
        <v>7</v>
      </c>
      <c r="B47" s="2" t="s">
        <v>88</v>
      </c>
      <c r="C47" s="2" t="s">
        <v>106</v>
      </c>
      <c r="D47" s="2" t="s">
        <v>34</v>
      </c>
      <c r="E47" s="2" t="s">
        <v>40</v>
      </c>
      <c r="F47" s="2" t="s">
        <v>35</v>
      </c>
      <c r="G47" s="2">
        <v>15</v>
      </c>
      <c r="H47" s="5">
        <v>872</v>
      </c>
      <c r="I47" s="5">
        <v>141</v>
      </c>
      <c r="J47" s="2">
        <v>3</v>
      </c>
      <c r="K47" s="3" t="s">
        <v>118</v>
      </c>
      <c r="L47" s="5">
        <v>141</v>
      </c>
      <c r="M47" s="2">
        <f t="shared" si="0"/>
        <v>5</v>
      </c>
    </row>
    <row r="48" spans="1:13">
      <c r="A48" s="2" t="s">
        <v>7</v>
      </c>
      <c r="B48" s="2" t="s">
        <v>88</v>
      </c>
      <c r="C48" s="2" t="s">
        <v>106</v>
      </c>
      <c r="D48" s="2" t="s">
        <v>34</v>
      </c>
      <c r="E48" s="2" t="s">
        <v>40</v>
      </c>
      <c r="F48" s="2" t="s">
        <v>35</v>
      </c>
      <c r="G48" s="2">
        <v>15</v>
      </c>
      <c r="H48" s="5">
        <v>3487</v>
      </c>
      <c r="I48" s="5">
        <v>565</v>
      </c>
      <c r="J48" s="2">
        <v>3</v>
      </c>
      <c r="K48" s="2" t="s">
        <v>119</v>
      </c>
      <c r="L48" s="5">
        <v>565</v>
      </c>
      <c r="M48" s="2">
        <f t="shared" si="0"/>
        <v>20</v>
      </c>
    </row>
    <row r="49" spans="1:13">
      <c r="A49" s="2" t="s">
        <v>7</v>
      </c>
      <c r="B49" s="2" t="s">
        <v>11</v>
      </c>
      <c r="C49" s="2" t="s">
        <v>33</v>
      </c>
      <c r="D49" s="2" t="s">
        <v>122</v>
      </c>
      <c r="E49" s="2" t="s">
        <v>36</v>
      </c>
      <c r="F49" s="2" t="s">
        <v>45</v>
      </c>
      <c r="G49" s="2">
        <v>34</v>
      </c>
      <c r="H49" s="5">
        <v>3933</v>
      </c>
      <c r="I49" s="7">
        <v>654</v>
      </c>
      <c r="J49" s="2">
        <v>7</v>
      </c>
      <c r="K49" s="2" t="s">
        <v>68</v>
      </c>
      <c r="L49" s="7">
        <v>654</v>
      </c>
      <c r="M49" s="2">
        <f t="shared" si="0"/>
        <v>24</v>
      </c>
    </row>
    <row r="50" spans="1:13">
      <c r="A50" s="2" t="s">
        <v>7</v>
      </c>
      <c r="B50" s="2" t="s">
        <v>11</v>
      </c>
      <c r="C50" s="2" t="s">
        <v>33</v>
      </c>
      <c r="D50" s="2" t="s">
        <v>122</v>
      </c>
      <c r="E50" s="2" t="s">
        <v>36</v>
      </c>
      <c r="F50" s="2" t="s">
        <v>45</v>
      </c>
      <c r="G50" s="2">
        <v>34</v>
      </c>
      <c r="H50" s="5">
        <v>7519</v>
      </c>
      <c r="I50" s="5">
        <v>1249</v>
      </c>
      <c r="J50" s="2">
        <v>7</v>
      </c>
      <c r="K50" s="2" t="s">
        <v>69</v>
      </c>
      <c r="L50" s="5">
        <v>1249</v>
      </c>
      <c r="M50" s="2">
        <f t="shared" si="0"/>
        <v>45</v>
      </c>
    </row>
    <row r="51" spans="1:13">
      <c r="A51" s="2" t="s">
        <v>7</v>
      </c>
      <c r="B51" s="2" t="s">
        <v>11</v>
      </c>
      <c r="C51" s="2" t="s">
        <v>33</v>
      </c>
      <c r="D51" s="2" t="s">
        <v>122</v>
      </c>
      <c r="E51" s="2" t="s">
        <v>36</v>
      </c>
      <c r="F51" s="2" t="s">
        <v>45</v>
      </c>
      <c r="G51" s="2">
        <v>34</v>
      </c>
      <c r="H51" s="5">
        <v>4245</v>
      </c>
      <c r="I51" s="5">
        <v>705</v>
      </c>
      <c r="J51" s="2">
        <v>7</v>
      </c>
      <c r="K51" s="2" t="s">
        <v>82</v>
      </c>
      <c r="L51" s="5">
        <v>705</v>
      </c>
      <c r="M51" s="2">
        <f t="shared" si="0"/>
        <v>25</v>
      </c>
    </row>
    <row r="52" spans="1:13">
      <c r="A52" s="2" t="s">
        <v>7</v>
      </c>
      <c r="B52" s="2" t="s">
        <v>11</v>
      </c>
      <c r="C52" s="2" t="s">
        <v>33</v>
      </c>
      <c r="D52" s="2" t="s">
        <v>122</v>
      </c>
      <c r="E52" s="2" t="s">
        <v>36</v>
      </c>
      <c r="F52" s="2" t="s">
        <v>45</v>
      </c>
      <c r="G52" s="2">
        <v>34</v>
      </c>
      <c r="H52" s="5">
        <v>736</v>
      </c>
      <c r="I52" s="5">
        <v>122</v>
      </c>
      <c r="J52" s="2">
        <v>7</v>
      </c>
      <c r="K52" s="2" t="s">
        <v>70</v>
      </c>
      <c r="L52" s="5">
        <v>122</v>
      </c>
      <c r="M52" s="2">
        <f t="shared" si="0"/>
        <v>4</v>
      </c>
    </row>
    <row r="53" spans="1:13">
      <c r="A53" s="2" t="s">
        <v>7</v>
      </c>
      <c r="B53" s="2" t="s">
        <v>11</v>
      </c>
      <c r="C53" s="2" t="s">
        <v>33</v>
      </c>
      <c r="D53" s="2" t="s">
        <v>122</v>
      </c>
      <c r="E53" s="2" t="s">
        <v>36</v>
      </c>
      <c r="F53" s="2" t="s">
        <v>45</v>
      </c>
      <c r="G53" s="2">
        <v>34</v>
      </c>
      <c r="H53" s="5">
        <v>832</v>
      </c>
      <c r="I53" s="5">
        <v>138</v>
      </c>
      <c r="J53" s="2">
        <v>7</v>
      </c>
      <c r="K53" s="2" t="s">
        <v>83</v>
      </c>
      <c r="L53" s="5">
        <v>138</v>
      </c>
      <c r="M53" s="2">
        <f t="shared" si="0"/>
        <v>5</v>
      </c>
    </row>
    <row r="54" spans="1:13">
      <c r="A54" s="2" t="s">
        <v>7</v>
      </c>
      <c r="B54" s="2" t="s">
        <v>11</v>
      </c>
      <c r="C54" s="2" t="s">
        <v>33</v>
      </c>
      <c r="D54" s="2" t="s">
        <v>122</v>
      </c>
      <c r="E54" s="2" t="s">
        <v>36</v>
      </c>
      <c r="F54" s="2" t="s">
        <v>45</v>
      </c>
      <c r="G54" s="2">
        <v>34</v>
      </c>
      <c r="H54" s="5">
        <v>2982</v>
      </c>
      <c r="I54" s="5">
        <v>495</v>
      </c>
      <c r="J54" s="2">
        <v>7</v>
      </c>
      <c r="K54" s="2" t="s">
        <v>84</v>
      </c>
      <c r="L54" s="5">
        <v>495</v>
      </c>
      <c r="M54" s="2">
        <f t="shared" si="0"/>
        <v>18</v>
      </c>
    </row>
    <row r="55" spans="1:13">
      <c r="A55" s="2" t="s">
        <v>7</v>
      </c>
      <c r="B55" s="2" t="s">
        <v>11</v>
      </c>
      <c r="C55" s="2" t="s">
        <v>33</v>
      </c>
      <c r="D55" s="2" t="s">
        <v>122</v>
      </c>
      <c r="E55" s="2" t="s">
        <v>36</v>
      </c>
      <c r="F55" s="2" t="s">
        <v>45</v>
      </c>
      <c r="G55" s="2">
        <v>34</v>
      </c>
      <c r="H55" s="5">
        <v>960</v>
      </c>
      <c r="I55" s="5">
        <v>160</v>
      </c>
      <c r="J55" s="2">
        <v>7</v>
      </c>
      <c r="K55" s="2" t="s">
        <v>71</v>
      </c>
      <c r="L55" s="5">
        <v>160</v>
      </c>
      <c r="M55" s="2">
        <f t="shared" si="0"/>
        <v>6</v>
      </c>
    </row>
    <row r="56" spans="1:13">
      <c r="M5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22" zoomScale="85" zoomScaleNormal="130" workbookViewId="0">
      <selection activeCell="F36" sqref="F36"/>
    </sheetView>
  </sheetViews>
  <sheetFormatPr defaultRowHeight="14.4"/>
  <cols>
    <col min="1" max="1" width="7.5546875" bestFit="1" customWidth="1"/>
    <col min="2" max="2" width="14.33203125" bestFit="1" customWidth="1"/>
    <col min="3" max="3" width="16.5546875" bestFit="1" customWidth="1"/>
    <col min="4" max="4" width="7.5546875" bestFit="1" customWidth="1"/>
    <col min="5" max="5" width="4.88671875" bestFit="1" customWidth="1"/>
    <col min="6" max="6" width="9" bestFit="1" customWidth="1"/>
    <col min="7" max="7" width="12.6640625" bestFit="1" customWidth="1"/>
    <col min="8" max="8" width="11.33203125" bestFit="1" customWidth="1"/>
    <col min="9" max="9" width="8.6640625" bestFit="1" customWidth="1"/>
    <col min="10" max="10" width="16.33203125" bestFit="1" customWidth="1"/>
    <col min="11" max="11" width="25.33203125" bestFit="1" customWidth="1"/>
    <col min="12" max="12" width="10.44140625" bestFit="1" customWidth="1"/>
    <col min="13" max="13" width="12.33203125" bestFit="1" customWidth="1"/>
  </cols>
  <sheetData>
    <row r="1" spans="1:13">
      <c r="A1" t="s">
        <v>0</v>
      </c>
      <c r="B1" t="s">
        <v>1</v>
      </c>
      <c r="C1" t="s">
        <v>2</v>
      </c>
      <c r="D1" t="s">
        <v>34</v>
      </c>
      <c r="E1" t="s">
        <v>36</v>
      </c>
      <c r="F1" t="s">
        <v>37</v>
      </c>
      <c r="G1" t="s">
        <v>4</v>
      </c>
      <c r="H1" t="s">
        <v>3</v>
      </c>
      <c r="I1" t="s">
        <v>47</v>
      </c>
      <c r="J1" t="s">
        <v>5</v>
      </c>
      <c r="K1" t="s">
        <v>6</v>
      </c>
      <c r="L1" t="s">
        <v>46</v>
      </c>
      <c r="M1" t="s">
        <v>38</v>
      </c>
    </row>
    <row r="2" spans="1:13" s="1" customFormat="1">
      <c r="A2" s="1" t="s">
        <v>7</v>
      </c>
      <c r="B2" s="1" t="s">
        <v>9</v>
      </c>
      <c r="C2" s="1" t="s">
        <v>42</v>
      </c>
      <c r="D2" s="1" t="s">
        <v>39</v>
      </c>
      <c r="E2" s="1" t="s">
        <v>40</v>
      </c>
      <c r="F2" s="1" t="s">
        <v>44</v>
      </c>
      <c r="G2" s="1">
        <v>7</v>
      </c>
      <c r="H2" s="1">
        <v>51150</v>
      </c>
      <c r="I2" s="1">
        <v>8286</v>
      </c>
      <c r="J2" s="1">
        <v>2</v>
      </c>
      <c r="K2" s="1" t="s">
        <v>48</v>
      </c>
    </row>
    <row r="3" spans="1:13" s="1" customFormat="1">
      <c r="A3" s="1" t="s">
        <v>7</v>
      </c>
      <c r="B3" s="1" t="s">
        <v>9</v>
      </c>
      <c r="C3" s="1" t="s">
        <v>42</v>
      </c>
      <c r="D3" s="1" t="s">
        <v>39</v>
      </c>
      <c r="E3" s="1" t="s">
        <v>40</v>
      </c>
      <c r="F3" s="1" t="s">
        <v>44</v>
      </c>
      <c r="G3" s="1">
        <v>7</v>
      </c>
      <c r="H3" s="1">
        <v>51150</v>
      </c>
      <c r="I3" s="1">
        <v>8286</v>
      </c>
      <c r="J3" s="1">
        <v>2</v>
      </c>
      <c r="K3" s="1" t="s">
        <v>49</v>
      </c>
    </row>
    <row r="4" spans="1:13" s="1" customFormat="1">
      <c r="A4" s="1" t="s">
        <v>7</v>
      </c>
      <c r="B4" s="1" t="s">
        <v>9</v>
      </c>
      <c r="C4" s="1" t="s">
        <v>43</v>
      </c>
      <c r="D4" s="1" t="s">
        <v>39</v>
      </c>
      <c r="E4" s="1" t="s">
        <v>40</v>
      </c>
      <c r="F4" s="1" t="s">
        <v>44</v>
      </c>
      <c r="G4" s="1">
        <v>10</v>
      </c>
      <c r="H4" s="1">
        <v>51150</v>
      </c>
      <c r="I4" s="1">
        <v>8286</v>
      </c>
      <c r="J4" s="1">
        <v>2</v>
      </c>
      <c r="K4" s="1" t="s">
        <v>85</v>
      </c>
    </row>
    <row r="5" spans="1:13" s="1" customFormat="1">
      <c r="A5" s="1" t="s">
        <v>7</v>
      </c>
      <c r="B5" s="1" t="s">
        <v>9</v>
      </c>
      <c r="C5" s="1" t="s">
        <v>43</v>
      </c>
      <c r="D5" s="1" t="s">
        <v>39</v>
      </c>
      <c r="E5" s="1" t="s">
        <v>40</v>
      </c>
      <c r="F5" s="1" t="s">
        <v>44</v>
      </c>
      <c r="G5" s="1">
        <v>10</v>
      </c>
      <c r="H5" s="1">
        <v>51150</v>
      </c>
      <c r="I5" s="1">
        <v>8286</v>
      </c>
      <c r="J5" s="1">
        <v>2</v>
      </c>
      <c r="K5" s="1" t="s">
        <v>49</v>
      </c>
    </row>
    <row r="6" spans="1:13">
      <c r="A6" t="s">
        <v>7</v>
      </c>
      <c r="B6" t="s">
        <v>9</v>
      </c>
      <c r="C6" t="s">
        <v>17</v>
      </c>
      <c r="D6" t="s">
        <v>39</v>
      </c>
      <c r="E6" t="s">
        <v>40</v>
      </c>
      <c r="F6" t="s">
        <v>45</v>
      </c>
      <c r="G6">
        <v>44</v>
      </c>
      <c r="H6">
        <v>85148</v>
      </c>
      <c r="I6">
        <v>13794</v>
      </c>
    </row>
    <row r="7" spans="1:13">
      <c r="A7" t="s">
        <v>7</v>
      </c>
      <c r="B7" t="s">
        <v>9</v>
      </c>
      <c r="C7" t="s">
        <v>18</v>
      </c>
      <c r="D7" t="s">
        <v>39</v>
      </c>
      <c r="E7" t="s">
        <v>40</v>
      </c>
      <c r="F7" t="s">
        <v>35</v>
      </c>
      <c r="G7">
        <v>30</v>
      </c>
      <c r="H7">
        <v>95447</v>
      </c>
      <c r="I7">
        <v>15462</v>
      </c>
    </row>
    <row r="8" spans="1:13">
      <c r="A8" t="s">
        <v>7</v>
      </c>
      <c r="B8" t="s">
        <v>9</v>
      </c>
      <c r="C8" t="s">
        <v>25</v>
      </c>
      <c r="D8" t="s">
        <v>39</v>
      </c>
      <c r="E8" t="s">
        <v>40</v>
      </c>
      <c r="F8" t="s">
        <v>44</v>
      </c>
      <c r="G8">
        <v>37</v>
      </c>
      <c r="H8">
        <v>55983</v>
      </c>
      <c r="I8">
        <v>9069</v>
      </c>
    </row>
    <row r="9" spans="1:13" s="1" customFormat="1">
      <c r="A9" s="1" t="s">
        <v>7</v>
      </c>
      <c r="B9" s="1" t="s">
        <v>9</v>
      </c>
      <c r="C9" s="1" t="s">
        <v>23</v>
      </c>
      <c r="D9" s="1" t="s">
        <v>39</v>
      </c>
      <c r="E9" s="1" t="s">
        <v>40</v>
      </c>
      <c r="F9" s="1" t="s">
        <v>44</v>
      </c>
      <c r="G9" s="1">
        <v>38</v>
      </c>
      <c r="H9" s="1">
        <v>73845</v>
      </c>
      <c r="I9" s="1">
        <v>11963</v>
      </c>
      <c r="J9" s="1">
        <v>8</v>
      </c>
      <c r="K9" s="1" t="s">
        <v>61</v>
      </c>
    </row>
    <row r="10" spans="1:13" s="1" customFormat="1">
      <c r="A10" s="1" t="s">
        <v>7</v>
      </c>
      <c r="B10" s="1" t="s">
        <v>9</v>
      </c>
      <c r="C10" s="1" t="s">
        <v>23</v>
      </c>
      <c r="D10" s="1" t="s">
        <v>39</v>
      </c>
      <c r="E10" s="1" t="s">
        <v>40</v>
      </c>
      <c r="F10" s="1" t="s">
        <v>44</v>
      </c>
      <c r="G10" s="1">
        <v>38</v>
      </c>
      <c r="H10" s="1">
        <v>73845</v>
      </c>
      <c r="I10" s="1">
        <v>11963</v>
      </c>
      <c r="J10" s="1">
        <v>8</v>
      </c>
      <c r="K10" s="1" t="s">
        <v>62</v>
      </c>
    </row>
    <row r="11" spans="1:13" s="1" customFormat="1">
      <c r="A11" s="1" t="s">
        <v>7</v>
      </c>
      <c r="B11" s="1" t="s">
        <v>9</v>
      </c>
      <c r="C11" s="1" t="s">
        <v>23</v>
      </c>
      <c r="D11" s="1" t="s">
        <v>39</v>
      </c>
      <c r="E11" s="1" t="s">
        <v>40</v>
      </c>
      <c r="F11" s="1" t="s">
        <v>44</v>
      </c>
      <c r="G11" s="1">
        <v>38</v>
      </c>
      <c r="H11" s="1">
        <v>73845</v>
      </c>
      <c r="I11" s="1">
        <v>11963</v>
      </c>
      <c r="J11" s="1">
        <v>8</v>
      </c>
      <c r="K11" s="1" t="s">
        <v>55</v>
      </c>
    </row>
    <row r="12" spans="1:13" s="1" customFormat="1">
      <c r="A12" s="1" t="s">
        <v>7</v>
      </c>
      <c r="B12" s="1" t="s">
        <v>9</v>
      </c>
      <c r="C12" s="1" t="s">
        <v>23</v>
      </c>
      <c r="D12" s="1" t="s">
        <v>39</v>
      </c>
      <c r="E12" s="1" t="s">
        <v>40</v>
      </c>
      <c r="F12" s="1" t="s">
        <v>44</v>
      </c>
      <c r="G12" s="1">
        <v>38</v>
      </c>
      <c r="H12" s="1">
        <v>73845</v>
      </c>
      <c r="I12" s="1">
        <v>11963</v>
      </c>
      <c r="J12" s="1">
        <v>8</v>
      </c>
      <c r="K12" s="1" t="s">
        <v>63</v>
      </c>
    </row>
    <row r="13" spans="1:13" s="1" customFormat="1">
      <c r="A13" s="1" t="s">
        <v>7</v>
      </c>
      <c r="B13" s="1" t="s">
        <v>9</v>
      </c>
      <c r="C13" s="1" t="s">
        <v>23</v>
      </c>
      <c r="D13" s="1" t="s">
        <v>39</v>
      </c>
      <c r="E13" s="1" t="s">
        <v>40</v>
      </c>
      <c r="F13" s="1" t="s">
        <v>44</v>
      </c>
      <c r="G13" s="1">
        <v>38</v>
      </c>
      <c r="H13" s="1">
        <v>73845</v>
      </c>
      <c r="I13" s="1">
        <v>11963</v>
      </c>
      <c r="J13" s="1">
        <v>8</v>
      </c>
      <c r="K13" s="1" t="s">
        <v>64</v>
      </c>
    </row>
    <row r="14" spans="1:13" s="1" customFormat="1">
      <c r="A14" s="1" t="s">
        <v>7</v>
      </c>
      <c r="B14" s="1" t="s">
        <v>9</v>
      </c>
      <c r="C14" s="1" t="s">
        <v>23</v>
      </c>
      <c r="D14" s="1" t="s">
        <v>39</v>
      </c>
      <c r="E14" s="1" t="s">
        <v>40</v>
      </c>
      <c r="F14" s="1" t="s">
        <v>44</v>
      </c>
      <c r="G14" s="1">
        <v>38</v>
      </c>
      <c r="H14" s="1">
        <v>73845</v>
      </c>
      <c r="I14" s="1">
        <v>11963</v>
      </c>
      <c r="J14" s="1">
        <v>8</v>
      </c>
      <c r="K14" s="1" t="s">
        <v>65</v>
      </c>
    </row>
    <row r="15" spans="1:13" s="1" customFormat="1">
      <c r="A15" s="1" t="s">
        <v>7</v>
      </c>
      <c r="B15" s="1" t="s">
        <v>9</v>
      </c>
      <c r="C15" s="1" t="s">
        <v>23</v>
      </c>
      <c r="D15" s="1" t="s">
        <v>39</v>
      </c>
      <c r="E15" s="1" t="s">
        <v>40</v>
      </c>
      <c r="F15" s="1" t="s">
        <v>44</v>
      </c>
      <c r="G15" s="1">
        <v>38</v>
      </c>
      <c r="H15" s="1">
        <v>73845</v>
      </c>
      <c r="I15" s="1">
        <v>11963</v>
      </c>
      <c r="J15" s="1">
        <v>8</v>
      </c>
      <c r="K15" s="1" t="s">
        <v>67</v>
      </c>
    </row>
    <row r="16" spans="1:13" s="1" customFormat="1">
      <c r="A16" s="1" t="s">
        <v>7</v>
      </c>
      <c r="B16" s="1" t="s">
        <v>9</v>
      </c>
      <c r="C16" s="1" t="s">
        <v>23</v>
      </c>
      <c r="D16" s="1" t="s">
        <v>39</v>
      </c>
      <c r="E16" s="1" t="s">
        <v>40</v>
      </c>
      <c r="F16" s="1" t="s">
        <v>44</v>
      </c>
      <c r="G16" s="1">
        <v>38</v>
      </c>
      <c r="H16" s="1">
        <v>73845</v>
      </c>
      <c r="I16" s="1">
        <v>11963</v>
      </c>
      <c r="J16" s="1">
        <v>8</v>
      </c>
      <c r="K16" s="1" t="s">
        <v>66</v>
      </c>
    </row>
    <row r="17" spans="1:11">
      <c r="A17" t="s">
        <v>7</v>
      </c>
      <c r="B17" t="s">
        <v>9</v>
      </c>
      <c r="C17" t="s">
        <v>19</v>
      </c>
      <c r="D17" t="s">
        <v>39</v>
      </c>
      <c r="E17" t="s">
        <v>40</v>
      </c>
      <c r="F17" t="s">
        <v>44</v>
      </c>
      <c r="G17">
        <v>15</v>
      </c>
      <c r="H17">
        <v>38021</v>
      </c>
      <c r="I17">
        <v>6159</v>
      </c>
    </row>
    <row r="18" spans="1:11">
      <c r="A18" t="s">
        <v>7</v>
      </c>
      <c r="B18" t="s">
        <v>9</v>
      </c>
      <c r="C18" t="s">
        <v>21</v>
      </c>
      <c r="D18" t="s">
        <v>34</v>
      </c>
      <c r="E18" t="s">
        <v>36</v>
      </c>
      <c r="F18" t="s">
        <v>44</v>
      </c>
      <c r="G18">
        <v>23</v>
      </c>
      <c r="H18">
        <v>45722</v>
      </c>
      <c r="I18">
        <v>7407</v>
      </c>
    </row>
    <row r="19" spans="1:11">
      <c r="A19" t="s">
        <v>7</v>
      </c>
      <c r="B19" t="s">
        <v>9</v>
      </c>
      <c r="C19" t="s">
        <v>24</v>
      </c>
      <c r="D19" t="s">
        <v>34</v>
      </c>
      <c r="E19" t="s">
        <v>36</v>
      </c>
      <c r="F19" t="s">
        <v>44</v>
      </c>
      <c r="G19">
        <v>19</v>
      </c>
      <c r="H19">
        <v>43153</v>
      </c>
      <c r="I19">
        <v>6991</v>
      </c>
    </row>
    <row r="20" spans="1:11" s="1" customFormat="1">
      <c r="A20" s="1" t="s">
        <v>7</v>
      </c>
      <c r="B20" s="1" t="s">
        <v>9</v>
      </c>
      <c r="C20" s="1" t="s">
        <v>20</v>
      </c>
      <c r="D20" s="1" t="s">
        <v>34</v>
      </c>
      <c r="E20" s="1" t="s">
        <v>36</v>
      </c>
      <c r="F20" s="1" t="s">
        <v>35</v>
      </c>
      <c r="G20" s="1">
        <v>19</v>
      </c>
      <c r="H20" s="1">
        <v>29261</v>
      </c>
      <c r="I20" s="1">
        <v>4740</v>
      </c>
      <c r="J20" s="1">
        <v>4</v>
      </c>
      <c r="K20" s="1" t="s">
        <v>57</v>
      </c>
    </row>
    <row r="21" spans="1:11" s="1" customFormat="1">
      <c r="A21" s="1" t="s">
        <v>7</v>
      </c>
      <c r="B21" s="1" t="s">
        <v>9</v>
      </c>
      <c r="C21" s="1" t="s">
        <v>20</v>
      </c>
      <c r="D21" s="1" t="s">
        <v>34</v>
      </c>
      <c r="E21" s="1" t="s">
        <v>36</v>
      </c>
      <c r="F21" s="1" t="s">
        <v>35</v>
      </c>
      <c r="G21" s="1">
        <v>19</v>
      </c>
      <c r="H21" s="1">
        <v>29261</v>
      </c>
      <c r="I21" s="1">
        <v>4740</v>
      </c>
      <c r="J21" s="1">
        <v>4</v>
      </c>
      <c r="K21" s="1" t="s">
        <v>58</v>
      </c>
    </row>
    <row r="22" spans="1:11" s="1" customFormat="1">
      <c r="A22" s="1" t="s">
        <v>7</v>
      </c>
      <c r="B22" s="1" t="s">
        <v>9</v>
      </c>
      <c r="C22" s="1" t="s">
        <v>20</v>
      </c>
      <c r="D22" s="1" t="s">
        <v>34</v>
      </c>
      <c r="E22" s="1" t="s">
        <v>36</v>
      </c>
      <c r="F22" s="1" t="s">
        <v>35</v>
      </c>
      <c r="G22" s="1">
        <v>19</v>
      </c>
      <c r="H22" s="1">
        <v>29261</v>
      </c>
      <c r="I22" s="1">
        <v>4740</v>
      </c>
      <c r="J22" s="1">
        <v>4</v>
      </c>
      <c r="K22" s="1" t="s">
        <v>59</v>
      </c>
    </row>
    <row r="23" spans="1:11" s="1" customFormat="1">
      <c r="A23" s="1" t="s">
        <v>7</v>
      </c>
      <c r="B23" s="1" t="s">
        <v>9</v>
      </c>
      <c r="C23" s="1" t="s">
        <v>20</v>
      </c>
      <c r="D23" s="1" t="s">
        <v>34</v>
      </c>
      <c r="E23" s="1" t="s">
        <v>36</v>
      </c>
      <c r="F23" s="1" t="s">
        <v>35</v>
      </c>
      <c r="G23" s="1">
        <v>19</v>
      </c>
      <c r="H23" s="1">
        <v>29261</v>
      </c>
      <c r="I23" s="1">
        <v>4740</v>
      </c>
      <c r="J23" s="1">
        <v>4</v>
      </c>
      <c r="K23" s="1" t="s">
        <v>60</v>
      </c>
    </row>
    <row r="24" spans="1:11" s="1" customFormat="1">
      <c r="A24" s="1" t="s">
        <v>7</v>
      </c>
      <c r="B24" s="1" t="s">
        <v>9</v>
      </c>
      <c r="C24" s="1" t="s">
        <v>22</v>
      </c>
      <c r="D24" s="1" t="s">
        <v>39</v>
      </c>
      <c r="E24" s="1" t="s">
        <v>36</v>
      </c>
      <c r="F24" s="1" t="s">
        <v>35</v>
      </c>
      <c r="G24" s="1">
        <v>10</v>
      </c>
      <c r="H24" s="1">
        <v>24642</v>
      </c>
      <c r="I24" s="1">
        <v>3992</v>
      </c>
      <c r="J24" s="1">
        <v>3</v>
      </c>
      <c r="K24" s="1" t="s">
        <v>55</v>
      </c>
    </row>
    <row r="25" spans="1:11" s="1" customFormat="1">
      <c r="A25" s="1" t="s">
        <v>7</v>
      </c>
      <c r="B25" s="1" t="s">
        <v>9</v>
      </c>
      <c r="C25" s="1" t="s">
        <v>22</v>
      </c>
      <c r="D25" s="1" t="s">
        <v>39</v>
      </c>
      <c r="E25" s="1" t="s">
        <v>36</v>
      </c>
      <c r="F25" s="1" t="s">
        <v>35</v>
      </c>
      <c r="G25" s="1">
        <v>10</v>
      </c>
      <c r="H25" s="1">
        <v>24642</v>
      </c>
      <c r="I25" s="1">
        <v>3992</v>
      </c>
      <c r="J25" s="1">
        <v>3</v>
      </c>
      <c r="K25" s="1" t="s">
        <v>56</v>
      </c>
    </row>
    <row r="26" spans="1:11" s="1" customFormat="1">
      <c r="A26" s="1" t="s">
        <v>7</v>
      </c>
      <c r="B26" s="1" t="s">
        <v>9</v>
      </c>
      <c r="C26" s="1" t="s">
        <v>22</v>
      </c>
      <c r="D26" s="1" t="s">
        <v>39</v>
      </c>
      <c r="E26" s="1" t="s">
        <v>36</v>
      </c>
      <c r="F26" s="1" t="s">
        <v>35</v>
      </c>
      <c r="G26" s="1">
        <v>10</v>
      </c>
      <c r="H26" s="1">
        <v>24642</v>
      </c>
      <c r="I26" s="1">
        <v>3992</v>
      </c>
      <c r="J26" s="1">
        <v>3</v>
      </c>
      <c r="K26" s="1" t="s">
        <v>81</v>
      </c>
    </row>
    <row r="27" spans="1:11">
      <c r="A27" t="s">
        <v>7</v>
      </c>
      <c r="B27" t="s">
        <v>10</v>
      </c>
      <c r="C27" t="s">
        <v>30</v>
      </c>
      <c r="D27" t="s">
        <v>34</v>
      </c>
      <c r="E27" t="s">
        <v>40</v>
      </c>
      <c r="F27" t="s">
        <v>35</v>
      </c>
      <c r="G27">
        <v>22</v>
      </c>
      <c r="H27">
        <v>71256</v>
      </c>
      <c r="I27">
        <v>11543</v>
      </c>
    </row>
    <row r="28" spans="1:11" s="1" customFormat="1">
      <c r="A28" s="1" t="s">
        <v>7</v>
      </c>
      <c r="B28" s="1" t="s">
        <v>10</v>
      </c>
      <c r="C28" s="1" t="s">
        <v>31</v>
      </c>
      <c r="D28" s="1" t="s">
        <v>39</v>
      </c>
      <c r="E28" s="1" t="s">
        <v>40</v>
      </c>
      <c r="F28" s="1" t="s">
        <v>35</v>
      </c>
      <c r="G28" s="1">
        <v>23</v>
      </c>
      <c r="H28" s="1">
        <v>79654</v>
      </c>
      <c r="I28" s="1">
        <v>12904</v>
      </c>
      <c r="J28" s="1">
        <v>4</v>
      </c>
      <c r="K28" s="1" t="s">
        <v>54</v>
      </c>
    </row>
    <row r="29" spans="1:11" s="1" customFormat="1">
      <c r="A29" s="1" t="s">
        <v>7</v>
      </c>
      <c r="B29" s="1" t="s">
        <v>10</v>
      </c>
      <c r="C29" s="1" t="s">
        <v>31</v>
      </c>
      <c r="D29" s="1" t="s">
        <v>39</v>
      </c>
      <c r="E29" s="1" t="s">
        <v>40</v>
      </c>
      <c r="F29" s="1" t="s">
        <v>35</v>
      </c>
      <c r="G29" s="1">
        <v>23</v>
      </c>
      <c r="H29" s="1">
        <v>79654</v>
      </c>
      <c r="I29" s="1">
        <v>12904</v>
      </c>
      <c r="J29" s="1">
        <v>4</v>
      </c>
      <c r="K29" s="1" t="s">
        <v>52</v>
      </c>
    </row>
    <row r="30" spans="1:11" s="1" customFormat="1">
      <c r="A30" s="1" t="s">
        <v>7</v>
      </c>
      <c r="B30" s="1" t="s">
        <v>10</v>
      </c>
      <c r="C30" s="1" t="s">
        <v>31</v>
      </c>
      <c r="D30" s="1" t="s">
        <v>39</v>
      </c>
      <c r="E30" s="1" t="s">
        <v>40</v>
      </c>
      <c r="F30" s="1" t="s">
        <v>35</v>
      </c>
      <c r="G30" s="1">
        <v>23</v>
      </c>
      <c r="H30" s="1">
        <v>79654</v>
      </c>
      <c r="I30" s="1">
        <v>12904</v>
      </c>
      <c r="J30" s="1">
        <v>4</v>
      </c>
      <c r="K30" s="1" t="s">
        <v>51</v>
      </c>
    </row>
    <row r="31" spans="1:11" s="1" customFormat="1">
      <c r="A31" s="1" t="s">
        <v>7</v>
      </c>
      <c r="B31" s="1" t="s">
        <v>10</v>
      </c>
      <c r="C31" s="1" t="s">
        <v>31</v>
      </c>
      <c r="D31" s="1" t="s">
        <v>39</v>
      </c>
      <c r="E31" s="1" t="s">
        <v>40</v>
      </c>
      <c r="F31" s="1" t="s">
        <v>35</v>
      </c>
      <c r="G31" s="1">
        <v>23</v>
      </c>
      <c r="H31" s="1">
        <v>79654</v>
      </c>
      <c r="I31" s="1">
        <v>12904</v>
      </c>
      <c r="J31" s="1">
        <v>4</v>
      </c>
      <c r="K31" s="1" t="s">
        <v>53</v>
      </c>
    </row>
    <row r="32" spans="1:11">
      <c r="A32" t="s">
        <v>7</v>
      </c>
      <c r="B32" t="s">
        <v>10</v>
      </c>
      <c r="C32" t="s">
        <v>27</v>
      </c>
      <c r="D32" t="s">
        <v>34</v>
      </c>
      <c r="E32" t="s">
        <v>40</v>
      </c>
      <c r="F32" t="s">
        <v>44</v>
      </c>
      <c r="G32">
        <v>29</v>
      </c>
      <c r="H32">
        <v>84872</v>
      </c>
      <c r="I32">
        <v>13749</v>
      </c>
    </row>
    <row r="33" spans="1:11">
      <c r="A33" t="s">
        <v>7</v>
      </c>
      <c r="B33" t="s">
        <v>10</v>
      </c>
      <c r="C33" t="s">
        <v>28</v>
      </c>
      <c r="D33" t="s">
        <v>39</v>
      </c>
      <c r="E33" t="s">
        <v>36</v>
      </c>
      <c r="F33" t="s">
        <v>35</v>
      </c>
      <c r="G33">
        <v>17</v>
      </c>
      <c r="H33">
        <v>26067</v>
      </c>
      <c r="I33">
        <v>4223</v>
      </c>
    </row>
    <row r="34" spans="1:11">
      <c r="A34" t="s">
        <v>7</v>
      </c>
      <c r="B34" t="s">
        <v>10</v>
      </c>
      <c r="C34" t="s">
        <v>29</v>
      </c>
      <c r="D34" t="s">
        <v>39</v>
      </c>
      <c r="E34" t="s">
        <v>36</v>
      </c>
      <c r="F34" t="s">
        <v>45</v>
      </c>
      <c r="G34">
        <v>35</v>
      </c>
      <c r="H34">
        <v>77639</v>
      </c>
      <c r="I34">
        <v>12577</v>
      </c>
    </row>
    <row r="35" spans="1:11" s="1" customFormat="1">
      <c r="A35" s="1" t="s">
        <v>7</v>
      </c>
      <c r="B35" s="1" t="s">
        <v>10</v>
      </c>
      <c r="C35" s="1" t="s">
        <v>26</v>
      </c>
      <c r="D35" s="1" t="s">
        <v>34</v>
      </c>
      <c r="E35" s="1" t="s">
        <v>36</v>
      </c>
      <c r="F35" s="1" t="s">
        <v>45</v>
      </c>
      <c r="G35" s="1">
        <v>19</v>
      </c>
      <c r="H35" s="1">
        <v>79602</v>
      </c>
      <c r="I35" s="1">
        <v>12896</v>
      </c>
      <c r="J35" s="1">
        <v>4</v>
      </c>
      <c r="K35" s="1" t="s">
        <v>78</v>
      </c>
    </row>
    <row r="36" spans="1:11" s="1" customFormat="1">
      <c r="A36" s="1" t="s">
        <v>7</v>
      </c>
      <c r="B36" s="1" t="s">
        <v>10</v>
      </c>
      <c r="C36" s="1" t="s">
        <v>26</v>
      </c>
      <c r="D36" s="1" t="s">
        <v>34</v>
      </c>
      <c r="E36" s="1" t="s">
        <v>36</v>
      </c>
      <c r="F36" s="1" t="s">
        <v>45</v>
      </c>
      <c r="G36" s="1">
        <v>19</v>
      </c>
      <c r="H36" s="1">
        <v>79602</v>
      </c>
      <c r="I36" s="1">
        <v>12896</v>
      </c>
      <c r="J36" s="1">
        <v>4</v>
      </c>
      <c r="K36" s="1" t="s">
        <v>80</v>
      </c>
    </row>
    <row r="37" spans="1:11" s="1" customFormat="1">
      <c r="A37" s="1" t="s">
        <v>7</v>
      </c>
      <c r="B37" s="1" t="s">
        <v>10</v>
      </c>
      <c r="C37" s="1" t="s">
        <v>26</v>
      </c>
      <c r="D37" s="1" t="s">
        <v>34</v>
      </c>
      <c r="E37" s="1" t="s">
        <v>36</v>
      </c>
      <c r="F37" s="1" t="s">
        <v>45</v>
      </c>
      <c r="G37" s="1">
        <v>19</v>
      </c>
      <c r="H37" s="1">
        <v>79602</v>
      </c>
      <c r="I37" s="1">
        <v>12896</v>
      </c>
      <c r="J37" s="1">
        <v>4</v>
      </c>
      <c r="K37" s="1" t="s">
        <v>50</v>
      </c>
    </row>
    <row r="38" spans="1:11" s="1" customFormat="1">
      <c r="A38" s="1" t="s">
        <v>7</v>
      </c>
      <c r="B38" s="1" t="s">
        <v>10</v>
      </c>
      <c r="C38" s="1" t="s">
        <v>26</v>
      </c>
      <c r="D38" s="1" t="s">
        <v>34</v>
      </c>
      <c r="E38" s="1" t="s">
        <v>36</v>
      </c>
      <c r="F38" s="1" t="s">
        <v>45</v>
      </c>
      <c r="G38" s="1">
        <v>19</v>
      </c>
      <c r="H38" s="1">
        <v>79602</v>
      </c>
      <c r="I38" s="1">
        <v>12896</v>
      </c>
      <c r="J38" s="1">
        <v>4</v>
      </c>
      <c r="K38" s="1" t="s">
        <v>79</v>
      </c>
    </row>
    <row r="39" spans="1:11">
      <c r="A39" t="s">
        <v>7</v>
      </c>
      <c r="B39" t="s">
        <v>10</v>
      </c>
      <c r="C39" t="s">
        <v>32</v>
      </c>
      <c r="D39" t="s">
        <v>34</v>
      </c>
      <c r="E39" t="s">
        <v>36</v>
      </c>
      <c r="F39" t="s">
        <v>45</v>
      </c>
      <c r="G39">
        <v>36</v>
      </c>
      <c r="H39">
        <v>104918</v>
      </c>
      <c r="I39">
        <v>16997</v>
      </c>
    </row>
    <row r="40" spans="1:11">
      <c r="A40" t="s">
        <v>7</v>
      </c>
      <c r="B40" t="s">
        <v>10</v>
      </c>
      <c r="C40" t="s">
        <v>41</v>
      </c>
      <c r="D40" t="s">
        <v>39</v>
      </c>
      <c r="E40" t="s">
        <v>40</v>
      </c>
    </row>
    <row r="41" spans="1:11">
      <c r="A41" t="s">
        <v>7</v>
      </c>
      <c r="B41" t="s">
        <v>8</v>
      </c>
      <c r="C41" t="s">
        <v>13</v>
      </c>
      <c r="D41" t="s">
        <v>34</v>
      </c>
      <c r="E41" t="s">
        <v>36</v>
      </c>
      <c r="F41" t="s">
        <v>35</v>
      </c>
      <c r="G41">
        <v>19</v>
      </c>
      <c r="H41">
        <v>31271</v>
      </c>
      <c r="I41">
        <v>5066</v>
      </c>
    </row>
    <row r="42" spans="1:11" s="1" customFormat="1">
      <c r="A42" s="1" t="s">
        <v>7</v>
      </c>
      <c r="B42" s="1" t="s">
        <v>8</v>
      </c>
      <c r="C42" s="1" t="s">
        <v>15</v>
      </c>
      <c r="D42" s="1" t="s">
        <v>34</v>
      </c>
      <c r="E42" s="1" t="s">
        <v>36</v>
      </c>
      <c r="F42" s="1" t="s">
        <v>35</v>
      </c>
      <c r="G42" s="1">
        <v>15</v>
      </c>
      <c r="H42" s="1">
        <v>22290</v>
      </c>
      <c r="I42" s="1">
        <v>3610</v>
      </c>
      <c r="J42" s="1">
        <v>3</v>
      </c>
      <c r="K42" s="1" t="s">
        <v>72</v>
      </c>
    </row>
    <row r="43" spans="1:11" s="1" customFormat="1">
      <c r="A43" s="1" t="s">
        <v>7</v>
      </c>
      <c r="B43" s="1" t="s">
        <v>8</v>
      </c>
      <c r="C43" s="1" t="s">
        <v>15</v>
      </c>
      <c r="D43" s="1" t="s">
        <v>34</v>
      </c>
      <c r="E43" s="1" t="s">
        <v>36</v>
      </c>
      <c r="F43" s="1" t="s">
        <v>35</v>
      </c>
      <c r="G43" s="1">
        <v>15</v>
      </c>
      <c r="H43" s="1">
        <v>22290</v>
      </c>
      <c r="I43" s="1">
        <v>3610</v>
      </c>
      <c r="J43" s="1">
        <v>3</v>
      </c>
      <c r="K43" s="1" t="s">
        <v>73</v>
      </c>
    </row>
    <row r="44" spans="1:11" s="1" customFormat="1">
      <c r="A44" s="1" t="s">
        <v>7</v>
      </c>
      <c r="B44" s="1" t="s">
        <v>8</v>
      </c>
      <c r="C44" s="1" t="s">
        <v>15</v>
      </c>
      <c r="D44" s="1" t="s">
        <v>34</v>
      </c>
      <c r="E44" s="1" t="s">
        <v>36</v>
      </c>
      <c r="F44" s="1" t="s">
        <v>35</v>
      </c>
      <c r="G44" s="1">
        <v>15</v>
      </c>
      <c r="H44" s="1">
        <v>22290</v>
      </c>
      <c r="I44" s="1">
        <v>3610</v>
      </c>
      <c r="J44" s="1">
        <v>3</v>
      </c>
      <c r="K44" s="1" t="s">
        <v>74</v>
      </c>
    </row>
    <row r="45" spans="1:11">
      <c r="A45" t="s">
        <v>7</v>
      </c>
      <c r="B45" t="s">
        <v>8</v>
      </c>
      <c r="C45" t="s">
        <v>16</v>
      </c>
      <c r="D45" t="s">
        <v>34</v>
      </c>
      <c r="E45" t="s">
        <v>40</v>
      </c>
      <c r="F45" t="s">
        <v>35</v>
      </c>
      <c r="G45">
        <v>12</v>
      </c>
      <c r="H45">
        <v>52709</v>
      </c>
      <c r="I45">
        <v>8539</v>
      </c>
    </row>
    <row r="46" spans="1:11">
      <c r="A46" t="s">
        <v>7</v>
      </c>
      <c r="B46" t="s">
        <v>8</v>
      </c>
      <c r="C46" t="s">
        <v>12</v>
      </c>
      <c r="D46" t="s">
        <v>34</v>
      </c>
      <c r="E46" t="s">
        <v>36</v>
      </c>
      <c r="F46" t="s">
        <v>35</v>
      </c>
      <c r="G46">
        <v>22</v>
      </c>
      <c r="H46">
        <v>39823</v>
      </c>
      <c r="I46">
        <v>6451</v>
      </c>
    </row>
    <row r="47" spans="1:11" s="1" customFormat="1">
      <c r="A47" s="1" t="s">
        <v>7</v>
      </c>
      <c r="B47" s="1" t="s">
        <v>8</v>
      </c>
      <c r="C47" s="1" t="s">
        <v>14</v>
      </c>
      <c r="D47" s="1" t="s">
        <v>34</v>
      </c>
      <c r="E47" s="1" t="s">
        <v>40</v>
      </c>
      <c r="F47" s="1" t="s">
        <v>35</v>
      </c>
      <c r="G47" s="1">
        <v>15</v>
      </c>
      <c r="H47" s="1">
        <v>31468</v>
      </c>
      <c r="I47" s="1">
        <v>5098</v>
      </c>
      <c r="J47" s="1">
        <v>3</v>
      </c>
      <c r="K47" s="1" t="s">
        <v>76</v>
      </c>
    </row>
    <row r="48" spans="1:11" s="1" customFormat="1">
      <c r="A48" s="1" t="s">
        <v>7</v>
      </c>
      <c r="B48" s="1" t="s">
        <v>8</v>
      </c>
      <c r="C48" s="1" t="s">
        <v>14</v>
      </c>
      <c r="D48" s="1" t="s">
        <v>34</v>
      </c>
      <c r="E48" s="1" t="s">
        <v>40</v>
      </c>
      <c r="F48" s="1" t="s">
        <v>35</v>
      </c>
      <c r="G48" s="1">
        <v>15</v>
      </c>
      <c r="H48" s="1">
        <v>31468</v>
      </c>
      <c r="I48" s="1">
        <v>5098</v>
      </c>
      <c r="J48" s="1">
        <v>3</v>
      </c>
      <c r="K48" s="1" t="s">
        <v>77</v>
      </c>
    </row>
    <row r="49" spans="1:11" s="1" customFormat="1">
      <c r="A49" s="1" t="s">
        <v>7</v>
      </c>
      <c r="B49" s="1" t="s">
        <v>8</v>
      </c>
      <c r="C49" s="1" t="s">
        <v>14</v>
      </c>
      <c r="D49" s="1" t="s">
        <v>34</v>
      </c>
      <c r="E49" s="1" t="s">
        <v>40</v>
      </c>
      <c r="F49" s="1" t="s">
        <v>35</v>
      </c>
      <c r="G49" s="1">
        <v>15</v>
      </c>
      <c r="H49" s="1">
        <v>31468</v>
      </c>
      <c r="I49" s="1">
        <v>5098</v>
      </c>
      <c r="J49" s="1">
        <v>3</v>
      </c>
      <c r="K49" s="1" t="s">
        <v>75</v>
      </c>
    </row>
    <row r="50" spans="1:11" s="1" customFormat="1">
      <c r="A50" s="1" t="s">
        <v>7</v>
      </c>
      <c r="B50" s="1" t="s">
        <v>11</v>
      </c>
      <c r="C50" s="1" t="s">
        <v>33</v>
      </c>
      <c r="D50" s="1" t="s">
        <v>39</v>
      </c>
      <c r="E50" s="1" t="s">
        <v>36</v>
      </c>
      <c r="F50" s="1" t="s">
        <v>45</v>
      </c>
      <c r="G50" s="1">
        <v>34</v>
      </c>
      <c r="H50" s="1">
        <v>87539</v>
      </c>
      <c r="I50" s="1">
        <v>14181</v>
      </c>
      <c r="J50" s="1">
        <v>7</v>
      </c>
      <c r="K50" s="1" t="s">
        <v>68</v>
      </c>
    </row>
    <row r="51" spans="1:11" s="1" customFormat="1">
      <c r="A51" s="1" t="s">
        <v>7</v>
      </c>
      <c r="B51" s="1" t="s">
        <v>11</v>
      </c>
      <c r="C51" s="1" t="s">
        <v>33</v>
      </c>
      <c r="D51" s="1" t="s">
        <v>39</v>
      </c>
      <c r="E51" s="1" t="s">
        <v>36</v>
      </c>
      <c r="F51" s="1" t="s">
        <v>45</v>
      </c>
      <c r="G51" s="1">
        <v>34</v>
      </c>
      <c r="H51" s="1">
        <v>87539</v>
      </c>
      <c r="I51" s="1">
        <v>14181</v>
      </c>
      <c r="J51" s="1">
        <v>7</v>
      </c>
      <c r="K51" s="1" t="s">
        <v>69</v>
      </c>
    </row>
    <row r="52" spans="1:11" s="1" customFormat="1">
      <c r="A52" s="1" t="s">
        <v>7</v>
      </c>
      <c r="B52" s="1" t="s">
        <v>11</v>
      </c>
      <c r="C52" s="1" t="s">
        <v>33</v>
      </c>
      <c r="D52" s="1" t="s">
        <v>39</v>
      </c>
      <c r="E52" s="1" t="s">
        <v>36</v>
      </c>
      <c r="F52" s="1" t="s">
        <v>45</v>
      </c>
      <c r="G52" s="1">
        <v>34</v>
      </c>
      <c r="H52" s="1">
        <v>87539</v>
      </c>
      <c r="I52" s="1">
        <v>14181</v>
      </c>
      <c r="J52" s="1">
        <v>7</v>
      </c>
      <c r="K52" s="1" t="s">
        <v>82</v>
      </c>
    </row>
    <row r="53" spans="1:11" s="1" customFormat="1">
      <c r="A53" s="1" t="s">
        <v>7</v>
      </c>
      <c r="B53" s="1" t="s">
        <v>11</v>
      </c>
      <c r="C53" s="1" t="s">
        <v>33</v>
      </c>
      <c r="D53" s="1" t="s">
        <v>39</v>
      </c>
      <c r="E53" s="1" t="s">
        <v>36</v>
      </c>
      <c r="F53" s="1" t="s">
        <v>45</v>
      </c>
      <c r="G53" s="1">
        <v>34</v>
      </c>
      <c r="H53" s="1">
        <v>87539</v>
      </c>
      <c r="I53" s="1">
        <v>14181</v>
      </c>
      <c r="J53" s="1">
        <v>7</v>
      </c>
      <c r="K53" s="1" t="s">
        <v>70</v>
      </c>
    </row>
    <row r="54" spans="1:11" s="1" customFormat="1">
      <c r="A54" s="1" t="s">
        <v>7</v>
      </c>
      <c r="B54" s="1" t="s">
        <v>11</v>
      </c>
      <c r="C54" s="1" t="s">
        <v>33</v>
      </c>
      <c r="D54" s="1" t="s">
        <v>39</v>
      </c>
      <c r="E54" s="1" t="s">
        <v>36</v>
      </c>
      <c r="F54" s="1" t="s">
        <v>45</v>
      </c>
      <c r="G54" s="1">
        <v>34</v>
      </c>
      <c r="H54" s="1">
        <v>87539</v>
      </c>
      <c r="I54" s="1">
        <v>14181</v>
      </c>
      <c r="J54" s="1">
        <v>7</v>
      </c>
      <c r="K54" s="1" t="s">
        <v>83</v>
      </c>
    </row>
    <row r="55" spans="1:11" s="1" customFormat="1">
      <c r="A55" s="1" t="s">
        <v>7</v>
      </c>
      <c r="B55" s="1" t="s">
        <v>11</v>
      </c>
      <c r="C55" s="1" t="s">
        <v>33</v>
      </c>
      <c r="D55" s="1" t="s">
        <v>39</v>
      </c>
      <c r="E55" s="1" t="s">
        <v>36</v>
      </c>
      <c r="F55" s="1" t="s">
        <v>45</v>
      </c>
      <c r="G55" s="1">
        <v>34</v>
      </c>
      <c r="H55" s="1">
        <v>87539</v>
      </c>
      <c r="I55" s="1">
        <v>14181</v>
      </c>
      <c r="J55" s="1">
        <v>7</v>
      </c>
      <c r="K55" s="1" t="s">
        <v>84</v>
      </c>
    </row>
    <row r="56" spans="1:11" s="1" customFormat="1">
      <c r="A56" s="1" t="s">
        <v>7</v>
      </c>
      <c r="B56" s="1" t="s">
        <v>11</v>
      </c>
      <c r="C56" s="1" t="s">
        <v>33</v>
      </c>
      <c r="D56" s="1" t="s">
        <v>39</v>
      </c>
      <c r="E56" s="1" t="s">
        <v>36</v>
      </c>
      <c r="F56" s="1" t="s">
        <v>45</v>
      </c>
      <c r="G56" s="1">
        <v>34</v>
      </c>
      <c r="H56" s="1">
        <v>87539</v>
      </c>
      <c r="I56" s="1">
        <v>14181</v>
      </c>
      <c r="J56" s="1">
        <v>7</v>
      </c>
      <c r="K56" s="1" t="s">
        <v>71</v>
      </c>
    </row>
  </sheetData>
  <sortState xmlns:xlrd2="http://schemas.microsoft.com/office/spreadsheetml/2017/richdata2" ref="A4:N57">
    <sortCondition ref="B1:B57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Chala Bekabil</cp:lastModifiedBy>
  <dcterms:created xsi:type="dcterms:W3CDTF">2015-06-05T18:17:20Z</dcterms:created>
  <dcterms:modified xsi:type="dcterms:W3CDTF">2026-09-30T12:13:36Z</dcterms:modified>
</cp:coreProperties>
</file>